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Sensitivity" sheetId="3" state="visible" r:id="rId3"/>
  </sheets>
  <definedNames>
    <definedName name="_xlnm._FilterDatabase" localSheetId="1" hidden="1">'Exceptions'!$A$1:$R$131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-"/>
    <numFmt numFmtId="165" formatCode="#,##0;(#,##0);-"/>
    <numFmt numFmtId="166" formatCode="$#,##0;($#,##0);-"/>
    <numFmt numFmtId="167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D2733"/>
      </patternFill>
    </fill>
    <fill>
      <patternFill patternType="solid">
        <fgColor rgb="00FFF2CC"/>
      </patternFill>
    </fill>
    <fill>
      <patternFill patternType="solid">
        <fgColor rgb="007F6000"/>
      </patternFill>
    </fill>
    <fill>
      <patternFill patternType="solid">
        <fgColor rgb="00DCEBE7"/>
      </patternFill>
    </fill>
  </fills>
  <borders count="2">
    <border>
      <left/>
      <right/>
      <top/>
      <bottom/>
      <diagonal/>
    </border>
    <border>
      <bottom style="thin">
        <color rgb="00D8DDE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164" fontId="6" fillId="0" borderId="0" pivotButton="0" quotePrefix="0" xfId="0"/>
    <xf numFmtId="1" fontId="6" fillId="0" borderId="0" pivotButton="0" quotePrefix="0" xfId="0"/>
    <xf numFmtId="166" fontId="6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right" vertical="center" wrapText="1"/>
    </xf>
    <xf numFmtId="165" fontId="6" fillId="0" borderId="0" pivotButton="0" quotePrefix="0" xfId="0"/>
    <xf numFmtId="165" fontId="2" fillId="0" borderId="0" pivotButton="0" quotePrefix="0" xfId="0"/>
    <xf numFmtId="167" fontId="2" fillId="0" borderId="0" pivotButton="0" quotePrefix="0" xfId="0"/>
    <xf numFmtId="165" fontId="5" fillId="0" borderId="0" pivotButton="0" quotePrefix="0" xfId="0"/>
    <xf numFmtId="167" fontId="5" fillId="0" borderId="0" pivotButton="0" quotePrefix="0" xfId="0"/>
    <xf numFmtId="166" fontId="2" fillId="0" borderId="0" pivotButton="0" quotePrefix="0" xfId="0"/>
    <xf numFmtId="1" fontId="2" fillId="0" borderId="0" pivotButton="0" quotePrefix="0" xfId="0"/>
    <xf numFmtId="166" fontId="5" fillId="0" borderId="0" pivotButton="0" quotePrefix="0" xfId="0"/>
    <xf numFmtId="1" fontId="5" fillId="0" borderId="0" pivotButton="0" quotePrefix="0" xfId="0"/>
    <xf numFmtId="0" fontId="1" fillId="4" borderId="0" applyAlignment="1" pivotButton="0" quotePrefix="0" xfId="0">
      <alignment horizontal="right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2" fillId="3" borderId="1" pivotButton="0" quotePrefix="0" xfId="0"/>
    <xf numFmtId="167" fontId="6" fillId="0" borderId="0" pivotButton="0" quotePrefix="0" xfId="0"/>
    <xf numFmtId="164" fontId="6" fillId="5" borderId="0" pivotButton="0" quotePrefix="0" xfId="0"/>
    <xf numFmtId="1" fontId="6" fillId="5" borderId="0" pivotButton="0" quotePrefix="0" xfId="0"/>
    <xf numFmtId="167" fontId="6" fillId="5" borderId="0" pivotButton="0" quotePrefix="0" xfId="0"/>
    <xf numFmtId="165" fontId="6" fillId="5" borderId="0" pivotButton="0" quotePrefix="0" xfId="0"/>
    <xf numFmtId="167" fontId="2" fillId="5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  <bgColor rgb="00F4CCCC"/>
        </patternFill>
      </fill>
    </dxf>
    <dxf>
      <fill>
        <patternFill patternType="solid">
          <fgColor rgb="00FCE5CD"/>
          <bgColor rgb="00FCE5CD"/>
        </patternFill>
      </fill>
    </dxf>
    <dxf>
      <fill>
        <patternFill patternType="solid">
          <fgColor rgb="00EDEFF2"/>
          <bgColor rgb="00EDEF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Q1 2026 cash receipts reconciliation: bank, AR subledger and GL</t>
        </is>
      </c>
    </row>
    <row r="2">
      <c r="A2" s="2" t="inlineStr">
        <is>
          <t>Synthetic data. Matching was done in SQL (sql/ folder); this workbook reports the result.</t>
        </is>
      </c>
    </row>
    <row r="3">
      <c r="A3" s="2" t="inlineStr">
        <is>
          <t>Blue = value taken from the SQL run. Black = formula. Yellow cells on the Exceptions sheet (Analyst status / notes) are for the reviewer to fill in.</t>
        </is>
      </c>
    </row>
    <row r="5">
      <c r="A5" s="3" t="inlineStr">
        <is>
          <t>Matching settings used</t>
        </is>
      </c>
    </row>
    <row r="6">
      <c r="A6" s="4" t="inlineStr">
        <is>
          <t>Amount tolerance</t>
        </is>
      </c>
      <c r="B6" s="5" t="n">
        <v>1</v>
      </c>
      <c r="C6" s="2" t="inlineStr">
        <is>
          <t>Largest amount difference still treated as a match (bank fees, rounding).</t>
        </is>
      </c>
    </row>
    <row r="7">
      <c r="A7" s="4" t="inlineStr">
        <is>
          <t>Date tolerance (days)</t>
        </is>
      </c>
      <c r="B7" s="6" t="n">
        <v>7</v>
      </c>
      <c r="C7" s="2" t="inlineStr">
        <is>
          <t>Largest date spread across systems before a match is reported as a timing gap.</t>
        </is>
      </c>
    </row>
    <row r="8">
      <c r="A8" s="4" t="inlineStr">
        <is>
          <t>Reference-link window (days)</t>
        </is>
      </c>
      <c r="B8" s="6" t="n">
        <v>45</v>
      </c>
      <c r="C8" s="2" t="inlineStr">
        <is>
          <t>How far apart two rows with the same reference may be and still be linked.</t>
        </is>
      </c>
    </row>
    <row r="9">
      <c r="A9" s="4" t="inlineStr">
        <is>
          <t>High severity from</t>
        </is>
      </c>
      <c r="B9" s="7" t="n">
        <v>5000</v>
      </c>
      <c r="C9" s="2" t="inlineStr">
        <is>
          <t>Exposure at or above this amount.</t>
        </is>
      </c>
    </row>
    <row r="10">
      <c r="A10" s="4" t="inlineStr">
        <is>
          <t>Medium severity from</t>
        </is>
      </c>
      <c r="B10" s="7" t="n">
        <v>1000</v>
      </c>
      <c r="C10" s="2" t="inlineStr">
        <is>
          <t>Exposure at or above this amount.</t>
        </is>
      </c>
    </row>
    <row r="12">
      <c r="A12" s="3" t="inlineStr">
        <is>
          <t>Population: what cleared without review</t>
        </is>
      </c>
    </row>
    <row r="13">
      <c r="A13" s="8" t="inlineStr">
        <is>
          <t>System</t>
        </is>
      </c>
      <c r="B13" s="9" t="inlineStr">
        <is>
          <t>Rows</t>
        </is>
      </c>
      <c r="C13" s="9" t="inlineStr">
        <is>
          <t>Cleared</t>
        </is>
      </c>
      <c r="D13" s="9" t="inlineStr">
        <is>
          <t>For review</t>
        </is>
      </c>
      <c r="E13" s="9" t="inlineStr">
        <is>
          <t>Cleared %</t>
        </is>
      </c>
    </row>
    <row r="14">
      <c r="A14" s="4" t="inlineStr">
        <is>
          <t>Bank statement</t>
        </is>
      </c>
      <c r="B14" s="10" t="n">
        <v>1471</v>
      </c>
      <c r="C14" s="10" t="n">
        <v>1387</v>
      </c>
      <c r="D14" s="11">
        <f>B14-C14</f>
        <v/>
      </c>
      <c r="E14" s="12">
        <f>C14/B14</f>
        <v/>
      </c>
    </row>
    <row r="15">
      <c r="A15" s="4" t="inlineStr">
        <is>
          <t>AR subledger</t>
        </is>
      </c>
      <c r="B15" s="10" t="n">
        <v>1482</v>
      </c>
      <c r="C15" s="10" t="n">
        <v>1387</v>
      </c>
      <c r="D15" s="11">
        <f>B15-C15</f>
        <v/>
      </c>
      <c r="E15" s="12">
        <f>C15/B15</f>
        <v/>
      </c>
    </row>
    <row r="16">
      <c r="A16" s="4" t="inlineStr">
        <is>
          <t>General ledger</t>
        </is>
      </c>
      <c r="B16" s="10" t="n">
        <v>1472</v>
      </c>
      <c r="C16" s="10" t="n">
        <v>1387</v>
      </c>
      <c r="D16" s="11">
        <f>B16-C16</f>
        <v/>
      </c>
      <c r="E16" s="12">
        <f>C16/B16</f>
        <v/>
      </c>
    </row>
    <row r="17">
      <c r="A17" s="3" t="inlineStr">
        <is>
          <t>All systems</t>
        </is>
      </c>
      <c r="B17" s="13">
        <f>SUM(B14:B16)</f>
        <v/>
      </c>
      <c r="C17" s="13">
        <f>SUM(C14:C16)</f>
        <v/>
      </c>
      <c r="D17" s="13">
        <f>SUM(D14:D16)</f>
        <v/>
      </c>
      <c r="E17" s="14">
        <f>C17/B17</f>
        <v/>
      </c>
    </row>
    <row r="20">
      <c r="A20" s="3" t="inlineStr">
        <is>
          <t>Exceptions by type</t>
        </is>
      </c>
    </row>
    <row r="21">
      <c r="A21" s="8" t="inlineStr">
        <is>
          <t>Type</t>
        </is>
      </c>
      <c r="B21" s="9" t="inlineStr">
        <is>
          <t>Count</t>
        </is>
      </c>
      <c r="C21" s="9" t="inlineStr">
        <is>
          <t>Exposure ($)</t>
        </is>
      </c>
      <c r="D21" s="9" t="inlineStr">
        <is>
          <t>High severity</t>
        </is>
      </c>
      <c r="E21" s="9" t="inlineStr">
        <is>
          <t>Avg age (days)</t>
        </is>
      </c>
    </row>
    <row r="22">
      <c r="A22" s="4" t="inlineStr">
        <is>
          <t>Missing in GL</t>
        </is>
      </c>
      <c r="B22" s="11">
        <f>COUNTIF(Exceptions!$B$2:$B$131,A22)</f>
        <v/>
      </c>
      <c r="C22" s="15">
        <f>SUMIF(Exceptions!$B$2:$B$131,A22,Exceptions!$M$2:$M$131)</f>
        <v/>
      </c>
      <c r="D22" s="11">
        <f>COUNTIFS(Exceptions!$B$2:$B$131,A22,Exceptions!$C$2:$C$131,"High")</f>
        <v/>
      </c>
      <c r="E22" s="16">
        <f>IF(B22=0,0,SUMIF(Exceptions!$B$2:$B$131,A22,Exceptions!$O$2:$O$131)/B22)</f>
        <v/>
      </c>
    </row>
    <row r="23">
      <c r="A23" s="4" t="inlineStr">
        <is>
          <t>Missing in bank</t>
        </is>
      </c>
      <c r="B23" s="11">
        <f>COUNTIF(Exceptions!$B$2:$B$131,A23)</f>
        <v/>
      </c>
      <c r="C23" s="15">
        <f>SUMIF(Exceptions!$B$2:$B$131,A23,Exceptions!$M$2:$M$131)</f>
        <v/>
      </c>
      <c r="D23" s="11">
        <f>COUNTIFS(Exceptions!$B$2:$B$131,A23,Exceptions!$C$2:$C$131,"High")</f>
        <v/>
      </c>
      <c r="E23" s="16">
        <f>IF(B23=0,0,SUMIF(Exceptions!$B$2:$B$131,A23,Exceptions!$O$2:$O$131)/B23)</f>
        <v/>
      </c>
    </row>
    <row r="24">
      <c r="A24" s="4" t="inlineStr">
        <is>
          <t>Timing gap</t>
        </is>
      </c>
      <c r="B24" s="11">
        <f>COUNTIF(Exceptions!$B$2:$B$131,A24)</f>
        <v/>
      </c>
      <c r="C24" s="15">
        <f>SUMIF(Exceptions!$B$2:$B$131,A24,Exceptions!$M$2:$M$131)</f>
        <v/>
      </c>
      <c r="D24" s="11">
        <f>COUNTIFS(Exceptions!$B$2:$B$131,A24,Exceptions!$C$2:$C$131,"High")</f>
        <v/>
      </c>
      <c r="E24" s="16">
        <f>IF(B24=0,0,SUMIF(Exceptions!$B$2:$B$131,A24,Exceptions!$O$2:$O$131)/B24)</f>
        <v/>
      </c>
    </row>
    <row r="25">
      <c r="A25" s="4" t="inlineStr">
        <is>
          <t>Amount mismatch</t>
        </is>
      </c>
      <c r="B25" s="11">
        <f>COUNTIF(Exceptions!$B$2:$B$131,A25)</f>
        <v/>
      </c>
      <c r="C25" s="15">
        <f>SUMIF(Exceptions!$B$2:$B$131,A25,Exceptions!$M$2:$M$131)</f>
        <v/>
      </c>
      <c r="D25" s="11">
        <f>COUNTIFS(Exceptions!$B$2:$B$131,A25,Exceptions!$C$2:$C$131,"High")</f>
        <v/>
      </c>
      <c r="E25" s="16">
        <f>IF(B25=0,0,SUMIF(Exceptions!$B$2:$B$131,A25,Exceptions!$O$2:$O$131)/B25)</f>
        <v/>
      </c>
    </row>
    <row r="26">
      <c r="A26" s="4" t="inlineStr">
        <is>
          <t>Duplicate posting</t>
        </is>
      </c>
      <c r="B26" s="11">
        <f>COUNTIF(Exceptions!$B$2:$B$131,A26)</f>
        <v/>
      </c>
      <c r="C26" s="15">
        <f>SUMIF(Exceptions!$B$2:$B$131,A26,Exceptions!$M$2:$M$131)</f>
        <v/>
      </c>
      <c r="D26" s="11">
        <f>COUNTIFS(Exceptions!$B$2:$B$131,A26,Exceptions!$C$2:$C$131,"High")</f>
        <v/>
      </c>
      <c r="E26" s="16">
        <f>IF(B26=0,0,SUMIF(Exceptions!$B$2:$B$131,A26,Exceptions!$O$2:$O$131)/B26)</f>
        <v/>
      </c>
    </row>
    <row r="27">
      <c r="A27" s="4" t="inlineStr">
        <is>
          <t>Missing in AR</t>
        </is>
      </c>
      <c r="B27" s="11">
        <f>COUNTIF(Exceptions!$B$2:$B$131,A27)</f>
        <v/>
      </c>
      <c r="C27" s="15">
        <f>SUMIF(Exceptions!$B$2:$B$131,A27,Exceptions!$M$2:$M$131)</f>
        <v/>
      </c>
      <c r="D27" s="11">
        <f>COUNTIFS(Exceptions!$B$2:$B$131,A27,Exceptions!$C$2:$C$131,"High")</f>
        <v/>
      </c>
      <c r="E27" s="16">
        <f>IF(B27=0,0,SUMIF(Exceptions!$B$2:$B$131,A27,Exceptions!$O$2:$O$131)/B27)</f>
        <v/>
      </c>
    </row>
    <row r="28">
      <c r="A28" s="4" t="inlineStr">
        <is>
          <t>Bank credit only</t>
        </is>
      </c>
      <c r="B28" s="11">
        <f>COUNTIF(Exceptions!$B$2:$B$131,A28)</f>
        <v/>
      </c>
      <c r="C28" s="15">
        <f>SUMIF(Exceptions!$B$2:$B$131,A28,Exceptions!$M$2:$M$131)</f>
        <v/>
      </c>
      <c r="D28" s="11">
        <f>COUNTIFS(Exceptions!$B$2:$B$131,A28,Exceptions!$C$2:$C$131,"High")</f>
        <v/>
      </c>
      <c r="E28" s="16">
        <f>IF(B28=0,0,SUMIF(Exceptions!$B$2:$B$131,A28,Exceptions!$O$2:$O$131)/B28)</f>
        <v/>
      </c>
    </row>
    <row r="29">
      <c r="A29" s="4" t="inlineStr">
        <is>
          <t>AR application only</t>
        </is>
      </c>
      <c r="B29" s="11">
        <f>COUNTIF(Exceptions!$B$2:$B$131,A29)</f>
        <v/>
      </c>
      <c r="C29" s="15">
        <f>SUMIF(Exceptions!$B$2:$B$131,A29,Exceptions!$M$2:$M$131)</f>
        <v/>
      </c>
      <c r="D29" s="11">
        <f>COUNTIFS(Exceptions!$B$2:$B$131,A29,Exceptions!$C$2:$C$131,"High")</f>
        <v/>
      </c>
      <c r="E29" s="16">
        <f>IF(B29=0,0,SUMIF(Exceptions!$B$2:$B$131,A29,Exceptions!$O$2:$O$131)/B29)</f>
        <v/>
      </c>
    </row>
    <row r="30">
      <c r="A30" s="4" t="inlineStr">
        <is>
          <t>GL entry only</t>
        </is>
      </c>
      <c r="B30" s="11">
        <f>COUNTIF(Exceptions!$B$2:$B$131,A30)</f>
        <v/>
      </c>
      <c r="C30" s="15">
        <f>SUMIF(Exceptions!$B$2:$B$131,A30,Exceptions!$M$2:$M$131)</f>
        <v/>
      </c>
      <c r="D30" s="11">
        <f>COUNTIFS(Exceptions!$B$2:$B$131,A30,Exceptions!$C$2:$C$131,"High")</f>
        <v/>
      </c>
      <c r="E30" s="16">
        <f>IF(B30=0,0,SUMIF(Exceptions!$B$2:$B$131,A30,Exceptions!$O$2:$O$131)/B30)</f>
        <v/>
      </c>
    </row>
    <row r="31">
      <c r="A31" s="4" t="inlineStr">
        <is>
          <t>Ambiguous match</t>
        </is>
      </c>
      <c r="B31" s="11">
        <f>COUNTIF(Exceptions!$B$2:$B$131,A31)</f>
        <v/>
      </c>
      <c r="C31" s="15">
        <f>SUMIF(Exceptions!$B$2:$B$131,A31,Exceptions!$M$2:$M$131)</f>
        <v/>
      </c>
      <c r="D31" s="11">
        <f>COUNTIFS(Exceptions!$B$2:$B$131,A31,Exceptions!$C$2:$C$131,"High")</f>
        <v/>
      </c>
      <c r="E31" s="16">
        <f>IF(B31=0,0,SUMIF(Exceptions!$B$2:$B$131,A31,Exceptions!$O$2:$O$131)/B31)</f>
        <v/>
      </c>
    </row>
    <row r="32">
      <c r="A32" s="3" t="inlineStr">
        <is>
          <t>Total</t>
        </is>
      </c>
      <c r="B32" s="13">
        <f>SUM(B22:B31)</f>
        <v/>
      </c>
      <c r="C32" s="17">
        <f>SUM(C22:C31)</f>
        <v/>
      </c>
      <c r="D32" s="13">
        <f>SUM(D22:D31)</f>
        <v/>
      </c>
      <c r="E32" s="18">
        <f>AVERAGE(Exceptions!$O$2:$O$131)</f>
        <v/>
      </c>
    </row>
    <row r="33">
      <c r="A33" s="2" t="inlineStr">
        <is>
          <t>Check: type counts equal rows on Exceptions sheet</t>
        </is>
      </c>
      <c r="B33" s="3">
        <f>IF(B32=COUNTA(Exceptions!$A$2:$A$131),"OK","CHECK")</f>
        <v/>
      </c>
    </row>
    <row r="36">
      <c r="A36" s="3" t="inlineStr">
        <is>
          <t>Exceptions by severity</t>
        </is>
      </c>
    </row>
    <row r="37">
      <c r="A37" s="8" t="inlineStr">
        <is>
          <t>Severity</t>
        </is>
      </c>
      <c r="B37" s="9" t="inlineStr">
        <is>
          <t>Count</t>
        </is>
      </c>
      <c r="C37" s="9" t="inlineStr">
        <is>
          <t>Exposure ($)</t>
        </is>
      </c>
    </row>
    <row r="38">
      <c r="A38" s="4" t="inlineStr">
        <is>
          <t>High</t>
        </is>
      </c>
      <c r="B38" s="11">
        <f>COUNTIF(Exceptions!$C$2:$C$131,A38)</f>
        <v/>
      </c>
      <c r="C38" s="15">
        <f>SUMIF(Exceptions!$C$2:$C$131,A38,Exceptions!$M$2:$M$131)</f>
        <v/>
      </c>
    </row>
    <row r="39">
      <c r="A39" s="4" t="inlineStr">
        <is>
          <t>Medium</t>
        </is>
      </c>
      <c r="B39" s="11">
        <f>COUNTIF(Exceptions!$C$2:$C$131,A39)</f>
        <v/>
      </c>
      <c r="C39" s="15">
        <f>SUMIF(Exceptions!$C$2:$C$131,A39,Exceptions!$M$2:$M$131)</f>
        <v/>
      </c>
    </row>
    <row r="40">
      <c r="A40" s="4" t="inlineStr">
        <is>
          <t>Low</t>
        </is>
      </c>
      <c r="B40" s="11">
        <f>COUNTIF(Exceptions!$C$2:$C$131,A40)</f>
        <v/>
      </c>
      <c r="C40" s="15">
        <f>SUMIF(Exceptions!$C$2:$C$131,A40,Exceptions!$M$2:$M$131)</f>
        <v/>
      </c>
    </row>
    <row r="42">
      <c r="A42" s="3" t="inlineStr">
        <is>
          <t>Review progress (driven by the Analyst status column)</t>
        </is>
      </c>
    </row>
    <row r="43">
      <c r="A43" s="8" t="inlineStr">
        <is>
          <t>Status</t>
        </is>
      </c>
      <c r="B43" s="9" t="inlineStr">
        <is>
          <t>Count</t>
        </is>
      </c>
      <c r="C43" s="9" t="inlineStr">
        <is>
          <t>Exposure ($)</t>
        </is>
      </c>
    </row>
    <row r="44">
      <c r="A44" s="4" t="inlineStr">
        <is>
          <t>Open</t>
        </is>
      </c>
      <c r="B44" s="11">
        <f>COUNTIF(Exceptions!$Q$2:$Q$131,A44)</f>
        <v/>
      </c>
      <c r="C44" s="15">
        <f>SUMIF(Exceptions!$Q$2:$Q$131,A44,Exceptions!$M$2:$M$131)</f>
        <v/>
      </c>
    </row>
    <row r="45">
      <c r="A45" s="4" t="inlineStr">
        <is>
          <t>In review</t>
        </is>
      </c>
      <c r="B45" s="11">
        <f>COUNTIF(Exceptions!$Q$2:$Q$131,A45)</f>
        <v/>
      </c>
      <c r="C45" s="15">
        <f>SUMIF(Exceptions!$Q$2:$Q$131,A45,Exceptions!$M$2:$M$131)</f>
        <v/>
      </c>
    </row>
    <row r="46">
      <c r="A46" s="4" t="inlineStr">
        <is>
          <t>Resolved</t>
        </is>
      </c>
      <c r="B46" s="11">
        <f>COUNTIF(Exceptions!$Q$2:$Q$131,A46)</f>
        <v/>
      </c>
      <c r="C46" s="15">
        <f>SUMIF(Exceptions!$Q$2:$Q$131,A46,Exceptions!$M$2:$M$131)</f>
        <v/>
      </c>
    </row>
    <row r="47">
      <c r="A47" s="4" t="inlineStr">
        <is>
          <t>Not an issue</t>
        </is>
      </c>
      <c r="B47" s="11">
        <f>COUNTIF(Exceptions!$Q$2:$Q$131,A47)</f>
        <v/>
      </c>
      <c r="C47" s="15">
        <f>SUMIF(Exceptions!$Q$2:$Q$131,A47,Exceptions!$M$2:$M$131)</f>
        <v/>
      </c>
    </row>
    <row r="48">
      <c r="A48" s="4" t="inlineStr">
        <is>
          <t>Not yet reviewed</t>
        </is>
      </c>
      <c r="B48" s="11">
        <f>B32-SUM(B44:B47)</f>
        <v/>
      </c>
      <c r="C48" s="15">
        <f>C32-SUM(C44:C47)</f>
        <v/>
      </c>
    </row>
    <row r="49">
      <c r="A49" s="2" t="inlineStr">
        <is>
          <t>Example: set Analyst status to Resolved and note 'GL entry reposted' in Analyst notes.</t>
        </is>
      </c>
    </row>
    <row r="52">
      <c r="A52" s="3" t="inlineStr">
        <is>
          <t>Scored against the planted breaks</t>
        </is>
      </c>
    </row>
    <row r="53">
      <c r="A53" s="4" t="inlineStr">
        <is>
          <t>Breaks planted in the data</t>
        </is>
      </c>
      <c r="B53" s="10" t="n">
        <v>128</v>
      </c>
      <c r="C53" s="2" t="inlineStr">
        <is>
          <t>Answer key lives outside the database (ground_truth/).</t>
        </is>
      </c>
    </row>
    <row r="54">
      <c r="A54" s="4" t="inlineStr">
        <is>
          <t>Planted breaks caught as the right type</t>
        </is>
      </c>
      <c r="B54" s="10" t="n">
        <v>128</v>
      </c>
    </row>
    <row r="55">
      <c r="A55" s="4" t="inlineStr">
        <is>
          <t>Recall</t>
        </is>
      </c>
      <c r="B55" s="12">
        <f>B54/B53</f>
        <v/>
      </c>
    </row>
    <row r="56">
      <c r="A56" s="4" t="inlineStr">
        <is>
          <t>Exceptions raised</t>
        </is>
      </c>
      <c r="B56" s="11">
        <f>B32</f>
        <v/>
      </c>
      <c r="C56" s="2" t="inlineStr">
        <is>
          <t>Linked to the count above.</t>
        </is>
      </c>
    </row>
    <row r="57">
      <c r="A57" s="4" t="inlineStr">
        <is>
          <t>Exceptions that were not planted breaks</t>
        </is>
      </c>
      <c r="B57" s="10" t="n">
        <v>2</v>
      </c>
      <c r="C57" s="2" t="inlineStr">
        <is>
          <t>Both come from one receipt with a blank bank reference and several same-amount candidates.</t>
        </is>
      </c>
    </row>
    <row r="58">
      <c r="A58" s="4" t="inlineStr">
        <is>
          <t>Precision</t>
        </is>
      </c>
      <c r="B58" s="12">
        <f>1-B57/B56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4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3" customWidth="1" min="11" max="11"/>
    <col width="13" customWidth="1" min="12" max="12"/>
    <col width="14" customWidth="1" min="13" max="13"/>
    <col width="11" customWidth="1" min="14" max="14"/>
    <col width="9" customWidth="1" min="15" max="15"/>
    <col width="70" customWidth="1" min="16" max="16"/>
    <col width="14" customWidth="1" min="17" max="17"/>
    <col width="34" customWidth="1" min="18" max="18"/>
  </cols>
  <sheetData>
    <row r="1" ht="30" customHeight="1">
      <c r="A1" s="8" t="inlineStr">
        <is>
          <t>Exception ID</t>
        </is>
      </c>
      <c r="B1" s="9" t="inlineStr">
        <is>
          <t>Type</t>
        </is>
      </c>
      <c r="C1" s="9" t="inlineStr">
        <is>
          <t>Severity</t>
        </is>
      </c>
      <c r="D1" s="9" t="inlineStr">
        <is>
          <t>Found in</t>
        </is>
      </c>
      <c r="E1" s="9" t="inlineStr">
        <is>
          <t>Reference</t>
        </is>
      </c>
      <c r="F1" s="9" t="inlineStr">
        <is>
          <t>Customer</t>
        </is>
      </c>
      <c r="G1" s="9" t="inlineStr">
        <is>
          <t>Bank ID</t>
        </is>
      </c>
      <c r="H1" s="9" t="inlineStr">
        <is>
          <t>AR ID</t>
        </is>
      </c>
      <c r="I1" s="9" t="inlineStr">
        <is>
          <t>GL ID</t>
        </is>
      </c>
      <c r="J1" s="9" t="inlineStr">
        <is>
          <t>Bank amount</t>
        </is>
      </c>
      <c r="K1" s="9" t="inlineStr">
        <is>
          <t>AR amount</t>
        </is>
      </c>
      <c r="L1" s="9" t="inlineStr">
        <is>
          <t>GL amount</t>
        </is>
      </c>
      <c r="M1" s="9" t="inlineStr">
        <is>
          <t>Exposure ($)</t>
        </is>
      </c>
      <c r="N1" s="9" t="inlineStr">
        <is>
          <t>Date spread (days)</t>
        </is>
      </c>
      <c r="O1" s="9" t="inlineStr">
        <is>
          <t>Age (days)</t>
        </is>
      </c>
      <c r="P1" s="9" t="inlineStr">
        <is>
          <t>Review note</t>
        </is>
      </c>
      <c r="Q1" s="19" t="inlineStr">
        <is>
          <t>Analyst status</t>
        </is>
      </c>
      <c r="R1" s="19" t="inlineStr">
        <is>
          <t>Analyst notes</t>
        </is>
      </c>
    </row>
    <row r="2">
      <c r="A2" s="20" t="inlineStr">
        <is>
          <t>E0001</t>
        </is>
      </c>
      <c r="B2" s="20" t="inlineStr">
        <is>
          <t>Timing gap</t>
        </is>
      </c>
      <c r="C2" s="20" t="inlineStr">
        <is>
          <t>High</t>
        </is>
      </c>
      <c r="D2" s="20" t="inlineStr">
        <is>
          <t>BANK + SL + GL</t>
        </is>
      </c>
      <c r="E2" s="20" t="inlineStr">
        <is>
          <t>10214</t>
        </is>
      </c>
      <c r="F2" s="20" t="inlineStr">
        <is>
          <t>C034</t>
        </is>
      </c>
      <c r="G2" s="20" t="inlineStr">
        <is>
          <t>B000168</t>
        </is>
      </c>
      <c r="H2" s="20" t="inlineStr">
        <is>
          <t>S000174</t>
        </is>
      </c>
      <c r="I2" s="20" t="inlineStr">
        <is>
          <t>G000637</t>
        </is>
      </c>
      <c r="J2" s="21" t="n">
        <v>40115.5</v>
      </c>
      <c r="K2" s="21" t="n">
        <v>40115.5</v>
      </c>
      <c r="L2" s="21" t="n">
        <v>40115.5</v>
      </c>
      <c r="M2" s="21" t="n">
        <v>40115.5</v>
      </c>
      <c r="N2" s="22" t="n">
        <v>28</v>
      </c>
      <c r="O2" s="22" t="n">
        <v>79</v>
      </c>
      <c r="P2" s="20" t="inlineStr">
        <is>
          <t>Ties across all three systems but dates span 28 days (tolerance 7). Pending analyst review.</t>
        </is>
      </c>
      <c r="Q2" s="23" t="n"/>
      <c r="R2" s="23" t="n"/>
    </row>
    <row r="3">
      <c r="A3" s="20" t="inlineStr">
        <is>
          <t>E0002</t>
        </is>
      </c>
      <c r="B3" s="20" t="inlineStr">
        <is>
          <t>Duplicate posting</t>
        </is>
      </c>
      <c r="C3" s="20" t="inlineStr">
        <is>
          <t>High</t>
        </is>
      </c>
      <c r="D3" s="20" t="inlineStr">
        <is>
          <t>GL</t>
        </is>
      </c>
      <c r="E3" s="20" t="inlineStr">
        <is>
          <t>11112</t>
        </is>
      </c>
      <c r="F3" s="20" t="n"/>
      <c r="G3" s="20" t="n"/>
      <c r="H3" s="20" t="n"/>
      <c r="I3" s="20" t="inlineStr">
        <is>
          <t>G000866</t>
        </is>
      </c>
      <c r="J3" s="21" t="n"/>
      <c r="K3" s="21" t="n"/>
      <c r="L3" s="21" t="n">
        <v>27120.68</v>
      </c>
      <c r="M3" s="21" t="n">
        <v>27120.68</v>
      </c>
      <c r="N3" s="22" t="n">
        <v>1</v>
      </c>
      <c r="O3" s="22" t="n">
        <v>39</v>
      </c>
      <c r="P3" s="20" t="inlineStr">
        <is>
          <t>Same reference and amount already posted once in GL (G000845). Pending analyst review.</t>
        </is>
      </c>
      <c r="Q3" s="23" t="n"/>
      <c r="R3" s="23" t="n"/>
    </row>
    <row r="4">
      <c r="A4" s="20" t="inlineStr">
        <is>
          <t>E0003</t>
        </is>
      </c>
      <c r="B4" s="20" t="inlineStr">
        <is>
          <t>Missing in AR</t>
        </is>
      </c>
      <c r="C4" s="20" t="inlineStr">
        <is>
          <t>High</t>
        </is>
      </c>
      <c r="D4" s="20" t="inlineStr">
        <is>
          <t>BANK + GL</t>
        </is>
      </c>
      <c r="E4" s="20" t="inlineStr">
        <is>
          <t>11053</t>
        </is>
      </c>
      <c r="F4" s="20" t="n"/>
      <c r="G4" s="20" t="inlineStr">
        <is>
          <t>B000815</t>
        </is>
      </c>
      <c r="H4" s="20" t="n"/>
      <c r="I4" s="20" t="inlineStr">
        <is>
          <t>G000818</t>
        </is>
      </c>
      <c r="J4" s="21" t="n">
        <v>26238.07</v>
      </c>
      <c r="K4" s="21" t="n"/>
      <c r="L4" s="21" t="n">
        <v>26238.07</v>
      </c>
      <c r="M4" s="21" t="n">
        <v>26238.07</v>
      </c>
      <c r="N4" s="22" t="n">
        <v>2</v>
      </c>
      <c r="O4" s="22" t="n">
        <v>44</v>
      </c>
      <c r="P4" s="20" t="inlineStr">
        <is>
          <t>In bank and GL; no AR subledger application found. Pending analyst review.</t>
        </is>
      </c>
      <c r="Q4" s="23" t="n"/>
      <c r="R4" s="23" t="n"/>
    </row>
    <row r="5">
      <c r="A5" s="20" t="inlineStr">
        <is>
          <t>E0004</t>
        </is>
      </c>
      <c r="B5" s="20" t="inlineStr">
        <is>
          <t>Missing in GL</t>
        </is>
      </c>
      <c r="C5" s="20" t="inlineStr">
        <is>
          <t>High</t>
        </is>
      </c>
      <c r="D5" s="20" t="inlineStr">
        <is>
          <t>BANK + SL</t>
        </is>
      </c>
      <c r="E5" s="20" t="inlineStr">
        <is>
          <t>10989</t>
        </is>
      </c>
      <c r="F5" s="20" t="inlineStr">
        <is>
          <t>C032</t>
        </is>
      </c>
      <c r="G5" s="20" t="inlineStr">
        <is>
          <t>B000323</t>
        </is>
      </c>
      <c r="H5" s="20" t="inlineStr">
        <is>
          <t>S000314</t>
        </is>
      </c>
      <c r="I5" s="20" t="n"/>
      <c r="J5" s="21" t="n">
        <v>25585.12</v>
      </c>
      <c r="K5" s="21" t="n">
        <v>25585.12</v>
      </c>
      <c r="L5" s="21" t="n"/>
      <c r="M5" s="21" t="n">
        <v>25585.12</v>
      </c>
      <c r="N5" s="22" t="n">
        <v>0</v>
      </c>
      <c r="O5" s="22" t="n">
        <v>70</v>
      </c>
      <c r="P5" s="20" t="inlineStr">
        <is>
          <t>In bank and AR subledger; no GL entry within tolerance. Pending analyst review.</t>
        </is>
      </c>
      <c r="Q5" s="23" t="n"/>
      <c r="R5" s="23" t="n"/>
    </row>
    <row r="6">
      <c r="A6" s="20" t="inlineStr">
        <is>
          <t>E0005</t>
        </is>
      </c>
      <c r="B6" s="20" t="inlineStr">
        <is>
          <t>Missing in bank</t>
        </is>
      </c>
      <c r="C6" s="20" t="inlineStr">
        <is>
          <t>High</t>
        </is>
      </c>
      <c r="D6" s="20" t="inlineStr">
        <is>
          <t>SL + GL</t>
        </is>
      </c>
      <c r="E6" s="20" t="inlineStr">
        <is>
          <t>10784</t>
        </is>
      </c>
      <c r="F6" s="20" t="inlineStr">
        <is>
          <t>C018</t>
        </is>
      </c>
      <c r="G6" s="20" t="n"/>
      <c r="H6" s="20" t="inlineStr">
        <is>
          <t>S000481</t>
        </is>
      </c>
      <c r="I6" s="20" t="inlineStr">
        <is>
          <t>G000448</t>
        </is>
      </c>
      <c r="J6" s="21" t="n"/>
      <c r="K6" s="21" t="n">
        <v>23313.29</v>
      </c>
      <c r="L6" s="21" t="n">
        <v>23313.29</v>
      </c>
      <c r="M6" s="21" t="n">
        <v>23313.29</v>
      </c>
      <c r="N6" s="22" t="n">
        <v>0</v>
      </c>
      <c r="O6" s="22" t="n">
        <v>61</v>
      </c>
      <c r="P6" s="20" t="inlineStr">
        <is>
          <t>In AR subledger and GL; no matching bank credit found. Pending analyst review.</t>
        </is>
      </c>
      <c r="Q6" s="23" t="n"/>
      <c r="R6" s="23" t="n"/>
    </row>
    <row r="7">
      <c r="A7" s="20" t="inlineStr">
        <is>
          <t>E0006</t>
        </is>
      </c>
      <c r="B7" s="20" t="inlineStr">
        <is>
          <t>Duplicate posting</t>
        </is>
      </c>
      <c r="C7" s="20" t="inlineStr">
        <is>
          <t>High</t>
        </is>
      </c>
      <c r="D7" s="20" t="inlineStr">
        <is>
          <t>SL</t>
        </is>
      </c>
      <c r="E7" s="20" t="inlineStr">
        <is>
          <t>10953</t>
        </is>
      </c>
      <c r="F7" s="20" t="inlineStr">
        <is>
          <t>C042</t>
        </is>
      </c>
      <c r="G7" s="20" t="n"/>
      <c r="H7" s="20" t="inlineStr">
        <is>
          <t>S000298</t>
        </is>
      </c>
      <c r="I7" s="20" t="n"/>
      <c r="J7" s="21" t="n"/>
      <c r="K7" s="21" t="n">
        <v>17900.17</v>
      </c>
      <c r="L7" s="21" t="n"/>
      <c r="M7" s="21" t="n">
        <v>17900.17</v>
      </c>
      <c r="N7" s="22" t="n">
        <v>2</v>
      </c>
      <c r="O7" s="22" t="n">
        <v>71</v>
      </c>
      <c r="P7" s="20" t="inlineStr">
        <is>
          <t>Same reference and amount already posted once in SL (S000274). Pending analyst review.</t>
        </is>
      </c>
      <c r="Q7" s="23" t="n"/>
      <c r="R7" s="23" t="n"/>
    </row>
    <row r="8">
      <c r="A8" s="20" t="inlineStr">
        <is>
          <t>E0007</t>
        </is>
      </c>
      <c r="B8" s="20" t="inlineStr">
        <is>
          <t>Timing gap</t>
        </is>
      </c>
      <c r="C8" s="20" t="inlineStr">
        <is>
          <t>High</t>
        </is>
      </c>
      <c r="D8" s="20" t="inlineStr">
        <is>
          <t>BANK + SL + GL</t>
        </is>
      </c>
      <c r="E8" s="20" t="inlineStr">
        <is>
          <t>10868</t>
        </is>
      </c>
      <c r="F8" s="20" t="inlineStr">
        <is>
          <t>C027</t>
        </is>
      </c>
      <c r="G8" s="20" t="inlineStr">
        <is>
          <t>B000229</t>
        </is>
      </c>
      <c r="H8" s="20" t="inlineStr">
        <is>
          <t>S000237</t>
        </is>
      </c>
      <c r="I8" s="20" t="inlineStr">
        <is>
          <t>G000596</t>
        </is>
      </c>
      <c r="J8" s="21" t="n">
        <v>16088.16</v>
      </c>
      <c r="K8" s="21" t="n">
        <v>16088.16</v>
      </c>
      <c r="L8" s="21" t="n">
        <v>16088.16</v>
      </c>
      <c r="M8" s="21" t="n">
        <v>16088.16</v>
      </c>
      <c r="N8" s="22" t="n">
        <v>23</v>
      </c>
      <c r="O8" s="22" t="n">
        <v>76</v>
      </c>
      <c r="P8" s="20" t="inlineStr">
        <is>
          <t>Ties across all three systems but dates span 23 days (tolerance 7). Pending analyst review.</t>
        </is>
      </c>
      <c r="Q8" s="23" t="n"/>
      <c r="R8" s="23" t="n"/>
    </row>
    <row r="9">
      <c r="A9" s="20" t="inlineStr">
        <is>
          <t>E0008</t>
        </is>
      </c>
      <c r="B9" s="20" t="inlineStr">
        <is>
          <t>Missing in bank</t>
        </is>
      </c>
      <c r="C9" s="20" t="inlineStr">
        <is>
          <t>High</t>
        </is>
      </c>
      <c r="D9" s="20" t="inlineStr">
        <is>
          <t>SL + GL</t>
        </is>
      </c>
      <c r="E9" s="20" t="inlineStr">
        <is>
          <t>10480</t>
        </is>
      </c>
      <c r="F9" s="20" t="inlineStr">
        <is>
          <t>C019</t>
        </is>
      </c>
      <c r="G9" s="20" t="n"/>
      <c r="H9" s="20" t="inlineStr">
        <is>
          <t>S001273</t>
        </is>
      </c>
      <c r="I9" s="20" t="inlineStr">
        <is>
          <t>G001251</t>
        </is>
      </c>
      <c r="J9" s="21" t="n"/>
      <c r="K9" s="21" t="n">
        <v>15841.22</v>
      </c>
      <c r="L9" s="21" t="n">
        <v>15841.22</v>
      </c>
      <c r="M9" s="21" t="n">
        <v>15841.22</v>
      </c>
      <c r="N9" s="22" t="n">
        <v>0</v>
      </c>
      <c r="O9" s="22" t="n">
        <v>19</v>
      </c>
      <c r="P9" s="20" t="inlineStr">
        <is>
          <t>In AR subledger and GL; no matching bank credit found. Pending analyst review.</t>
        </is>
      </c>
      <c r="Q9" s="23" t="n"/>
      <c r="R9" s="23" t="n"/>
    </row>
    <row r="10">
      <c r="A10" s="20" t="inlineStr">
        <is>
          <t>E0009</t>
        </is>
      </c>
      <c r="B10" s="20" t="inlineStr">
        <is>
          <t>Missing in bank</t>
        </is>
      </c>
      <c r="C10" s="20" t="inlineStr">
        <is>
          <t>High</t>
        </is>
      </c>
      <c r="D10" s="20" t="inlineStr">
        <is>
          <t>SL + GL</t>
        </is>
      </c>
      <c r="E10" s="20" t="inlineStr">
        <is>
          <t>10288</t>
        </is>
      </c>
      <c r="F10" s="20" t="inlineStr">
        <is>
          <t>C038</t>
        </is>
      </c>
      <c r="G10" s="20" t="n"/>
      <c r="H10" s="20" t="inlineStr">
        <is>
          <t>S000967</t>
        </is>
      </c>
      <c r="I10" s="20" t="inlineStr">
        <is>
          <t>G000954</t>
        </is>
      </c>
      <c r="J10" s="21" t="n"/>
      <c r="K10" s="21" t="n">
        <v>12177.35</v>
      </c>
      <c r="L10" s="21" t="n">
        <v>12177.35</v>
      </c>
      <c r="M10" s="21" t="n">
        <v>12177.35</v>
      </c>
      <c r="N10" s="22" t="n">
        <v>0</v>
      </c>
      <c r="O10" s="22" t="n">
        <v>35</v>
      </c>
      <c r="P10" s="20" t="inlineStr">
        <is>
          <t>In AR subledger and GL; no matching bank credit found. Pending analyst review.</t>
        </is>
      </c>
      <c r="Q10" s="23" t="n"/>
      <c r="R10" s="23" t="n"/>
    </row>
    <row r="11">
      <c r="A11" s="20" t="inlineStr">
        <is>
          <t>E0010</t>
        </is>
      </c>
      <c r="B11" s="20" t="inlineStr">
        <is>
          <t>Missing in bank</t>
        </is>
      </c>
      <c r="C11" s="20" t="inlineStr">
        <is>
          <t>High</t>
        </is>
      </c>
      <c r="D11" s="20" t="inlineStr">
        <is>
          <t>SL + GL</t>
        </is>
      </c>
      <c r="E11" s="20" t="inlineStr">
        <is>
          <t>10540</t>
        </is>
      </c>
      <c r="F11" s="20" t="inlineStr">
        <is>
          <t>C018</t>
        </is>
      </c>
      <c r="G11" s="20" t="n"/>
      <c r="H11" s="20" t="inlineStr">
        <is>
          <t>S000084</t>
        </is>
      </c>
      <c r="I11" s="20" t="inlineStr">
        <is>
          <t>G000076</t>
        </is>
      </c>
      <c r="J11" s="21" t="n"/>
      <c r="K11" s="21" t="n">
        <v>12095.16</v>
      </c>
      <c r="L11" s="21" t="n">
        <v>12095.16</v>
      </c>
      <c r="M11" s="21" t="n">
        <v>12095.16</v>
      </c>
      <c r="N11" s="22" t="n">
        <v>1</v>
      </c>
      <c r="O11" s="22" t="n">
        <v>83</v>
      </c>
      <c r="P11" s="20" t="inlineStr">
        <is>
          <t>In AR subledger and GL; no matching bank credit found. Pending analyst review.</t>
        </is>
      </c>
      <c r="Q11" s="23" t="n"/>
      <c r="R11" s="23" t="n"/>
    </row>
    <row r="12">
      <c r="A12" s="20" t="inlineStr">
        <is>
          <t>E0011</t>
        </is>
      </c>
      <c r="B12" s="20" t="inlineStr">
        <is>
          <t>Missing in GL</t>
        </is>
      </c>
      <c r="C12" s="20" t="inlineStr">
        <is>
          <t>High</t>
        </is>
      </c>
      <c r="D12" s="20" t="inlineStr">
        <is>
          <t>BANK + SL</t>
        </is>
      </c>
      <c r="E12" s="20" t="inlineStr">
        <is>
          <t>10326</t>
        </is>
      </c>
      <c r="F12" s="20" t="inlineStr">
        <is>
          <t>C059</t>
        </is>
      </c>
      <c r="G12" s="20" t="inlineStr">
        <is>
          <t>B000425</t>
        </is>
      </c>
      <c r="H12" s="20" t="inlineStr">
        <is>
          <t>S000420</t>
        </is>
      </c>
      <c r="I12" s="20" t="n"/>
      <c r="J12" s="21" t="n">
        <v>12054.05</v>
      </c>
      <c r="K12" s="21" t="n">
        <v>12054.05</v>
      </c>
      <c r="L12" s="21" t="n"/>
      <c r="M12" s="21" t="n">
        <v>12054.05</v>
      </c>
      <c r="N12" s="22" t="n">
        <v>1</v>
      </c>
      <c r="O12" s="22" t="n">
        <v>65</v>
      </c>
      <c r="P12" s="20" t="inlineStr">
        <is>
          <t>In bank and AR subledger; no GL entry within tolerance. Pending analyst review.</t>
        </is>
      </c>
      <c r="Q12" s="23" t="n"/>
      <c r="R12" s="23" t="n"/>
    </row>
    <row r="13">
      <c r="A13" s="20" t="inlineStr">
        <is>
          <t>E0012</t>
        </is>
      </c>
      <c r="B13" s="20" t="inlineStr">
        <is>
          <t>Missing in GL</t>
        </is>
      </c>
      <c r="C13" s="20" t="inlineStr">
        <is>
          <t>High</t>
        </is>
      </c>
      <c r="D13" s="20" t="inlineStr">
        <is>
          <t>BANK + SL</t>
        </is>
      </c>
      <c r="E13" s="20" t="inlineStr">
        <is>
          <t>10329</t>
        </is>
      </c>
      <c r="F13" s="20" t="inlineStr">
        <is>
          <t>C050</t>
        </is>
      </c>
      <c r="G13" s="20" t="inlineStr">
        <is>
          <t>B000547</t>
        </is>
      </c>
      <c r="H13" s="20" t="inlineStr">
        <is>
          <t>S000588</t>
        </is>
      </c>
      <c r="I13" s="20" t="n"/>
      <c r="J13" s="21" t="n">
        <v>11793.65</v>
      </c>
      <c r="K13" s="21" t="n">
        <v>11793.65</v>
      </c>
      <c r="L13" s="21" t="n"/>
      <c r="M13" s="21" t="n">
        <v>11793.65</v>
      </c>
      <c r="N13" s="22" t="n">
        <v>2</v>
      </c>
      <c r="O13" s="22" t="n">
        <v>57</v>
      </c>
      <c r="P13" s="20" t="inlineStr">
        <is>
          <t>In bank and AR subledger; no GL entry within tolerance. Pending analyst review.</t>
        </is>
      </c>
      <c r="Q13" s="23" t="n"/>
      <c r="R13" s="23" t="n"/>
    </row>
    <row r="14">
      <c r="A14" s="20" t="inlineStr">
        <is>
          <t>E0013</t>
        </is>
      </c>
      <c r="B14" s="20" t="inlineStr">
        <is>
          <t>Duplicate posting</t>
        </is>
      </c>
      <c r="C14" s="20" t="inlineStr">
        <is>
          <t>High</t>
        </is>
      </c>
      <c r="D14" s="20" t="inlineStr">
        <is>
          <t>SL</t>
        </is>
      </c>
      <c r="E14" s="20" t="inlineStr">
        <is>
          <t>11139</t>
        </is>
      </c>
      <c r="F14" s="20" t="inlineStr">
        <is>
          <t>C040</t>
        </is>
      </c>
      <c r="G14" s="20" t="n"/>
      <c r="H14" s="20" t="inlineStr">
        <is>
          <t>S001077</t>
        </is>
      </c>
      <c r="I14" s="20" t="n"/>
      <c r="J14" s="21" t="n"/>
      <c r="K14" s="21" t="n">
        <v>10864.06</v>
      </c>
      <c r="L14" s="21" t="n"/>
      <c r="M14" s="21" t="n">
        <v>10864.06</v>
      </c>
      <c r="N14" s="22" t="n">
        <v>1</v>
      </c>
      <c r="O14" s="22" t="n">
        <v>29</v>
      </c>
      <c r="P14" s="20" t="inlineStr">
        <is>
          <t>Same reference and amount already posted once in SL (S001052). Pending analyst review.</t>
        </is>
      </c>
      <c r="Q14" s="23" t="n"/>
      <c r="R14" s="23" t="n"/>
    </row>
    <row r="15">
      <c r="A15" s="20" t="inlineStr">
        <is>
          <t>E0014</t>
        </is>
      </c>
      <c r="B15" s="20" t="inlineStr">
        <is>
          <t>Timing gap</t>
        </is>
      </c>
      <c r="C15" s="20" t="inlineStr">
        <is>
          <t>High</t>
        </is>
      </c>
      <c r="D15" s="20" t="inlineStr">
        <is>
          <t>BANK + SL + GL</t>
        </is>
      </c>
      <c r="E15" s="20" t="inlineStr">
        <is>
          <t>10445</t>
        </is>
      </c>
      <c r="F15" s="20" t="inlineStr">
        <is>
          <t>C027</t>
        </is>
      </c>
      <c r="G15" s="20" t="inlineStr">
        <is>
          <t>B000914</t>
        </is>
      </c>
      <c r="H15" s="20" t="inlineStr">
        <is>
          <t>S000948</t>
        </is>
      </c>
      <c r="I15" s="20" t="inlineStr">
        <is>
          <t>G001131</t>
        </is>
      </c>
      <c r="J15" s="21" t="n">
        <v>10193.49</v>
      </c>
      <c r="K15" s="21" t="n">
        <v>10193.49</v>
      </c>
      <c r="L15" s="21" t="n">
        <v>10193.49</v>
      </c>
      <c r="M15" s="21" t="n">
        <v>10193.49</v>
      </c>
      <c r="N15" s="22" t="n">
        <v>13</v>
      </c>
      <c r="O15" s="22" t="n">
        <v>38</v>
      </c>
      <c r="P15" s="20" t="inlineStr">
        <is>
          <t>Ties across all three systems but dates span 13 days (tolerance 7). Pending analyst review.</t>
        </is>
      </c>
      <c r="Q15" s="23" t="n"/>
      <c r="R15" s="23" t="n"/>
    </row>
    <row r="16">
      <c r="A16" s="20" t="inlineStr">
        <is>
          <t>E0015</t>
        </is>
      </c>
      <c r="B16" s="20" t="inlineStr">
        <is>
          <t>Missing in GL</t>
        </is>
      </c>
      <c r="C16" s="20" t="inlineStr">
        <is>
          <t>High</t>
        </is>
      </c>
      <c r="D16" s="20" t="inlineStr">
        <is>
          <t>BANK + SL</t>
        </is>
      </c>
      <c r="E16" s="20" t="inlineStr">
        <is>
          <t>10933</t>
        </is>
      </c>
      <c r="F16" s="20" t="inlineStr">
        <is>
          <t>C035</t>
        </is>
      </c>
      <c r="G16" s="20" t="inlineStr">
        <is>
          <t>B001386</t>
        </is>
      </c>
      <c r="H16" s="20" t="inlineStr">
        <is>
          <t>S001371</t>
        </is>
      </c>
      <c r="I16" s="20" t="n"/>
      <c r="J16" s="21" t="n">
        <v>9954.200000000001</v>
      </c>
      <c r="K16" s="21" t="n">
        <v>9954.200000000001</v>
      </c>
      <c r="L16" s="21" t="n"/>
      <c r="M16" s="21" t="n">
        <v>9954.200000000001</v>
      </c>
      <c r="N16" s="22" t="n">
        <v>0</v>
      </c>
      <c r="O16" s="22" t="n">
        <v>13</v>
      </c>
      <c r="P16" s="20" t="inlineStr">
        <is>
          <t>In bank and AR subledger; no GL entry within tolerance. Pending analyst review.</t>
        </is>
      </c>
      <c r="Q16" s="23" t="n"/>
      <c r="R16" s="23" t="n"/>
    </row>
    <row r="17">
      <c r="A17" s="20" t="inlineStr">
        <is>
          <t>E0016</t>
        </is>
      </c>
      <c r="B17" s="20" t="inlineStr">
        <is>
          <t>Duplicate posting</t>
        </is>
      </c>
      <c r="C17" s="20" t="inlineStr">
        <is>
          <t>High</t>
        </is>
      </c>
      <c r="D17" s="20" t="inlineStr">
        <is>
          <t>SL</t>
        </is>
      </c>
      <c r="E17" s="20" t="inlineStr">
        <is>
          <t>10993</t>
        </is>
      </c>
      <c r="F17" s="20" t="inlineStr">
        <is>
          <t>C004</t>
        </is>
      </c>
      <c r="G17" s="20" t="n"/>
      <c r="H17" s="20" t="inlineStr">
        <is>
          <t>S000310</t>
        </is>
      </c>
      <c r="I17" s="20" t="n"/>
      <c r="J17" s="21" t="n"/>
      <c r="K17" s="21" t="n">
        <v>9667.110000000001</v>
      </c>
      <c r="L17" s="21" t="n"/>
      <c r="M17" s="21" t="n">
        <v>9667.110000000001</v>
      </c>
      <c r="N17" s="22" t="n">
        <v>0</v>
      </c>
      <c r="O17" s="22" t="n">
        <v>71</v>
      </c>
      <c r="P17" s="20" t="inlineStr">
        <is>
          <t>Same reference and amount already posted once in SL (S000307). Pending analyst review.</t>
        </is>
      </c>
      <c r="Q17" s="23" t="n"/>
      <c r="R17" s="23" t="n"/>
    </row>
    <row r="18">
      <c r="A18" s="20" t="inlineStr">
        <is>
          <t>E0017</t>
        </is>
      </c>
      <c r="B18" s="20" t="inlineStr">
        <is>
          <t>Missing in GL</t>
        </is>
      </c>
      <c r="C18" s="20" t="inlineStr">
        <is>
          <t>High</t>
        </is>
      </c>
      <c r="D18" s="20" t="inlineStr">
        <is>
          <t>BANK + SL</t>
        </is>
      </c>
      <c r="E18" s="20" t="inlineStr">
        <is>
          <t>10912</t>
        </is>
      </c>
      <c r="F18" s="20" t="inlineStr">
        <is>
          <t>C060</t>
        </is>
      </c>
      <c r="G18" s="20" t="inlineStr">
        <is>
          <t>B000576</t>
        </is>
      </c>
      <c r="H18" s="20" t="inlineStr">
        <is>
          <t>S000597</t>
        </is>
      </c>
      <c r="I18" s="20" t="n"/>
      <c r="J18" s="21" t="n">
        <v>9081.190000000001</v>
      </c>
      <c r="K18" s="21" t="n">
        <v>9081.190000000001</v>
      </c>
      <c r="L18" s="21" t="n"/>
      <c r="M18" s="21" t="n">
        <v>9081.190000000001</v>
      </c>
      <c r="N18" s="22" t="n">
        <v>1</v>
      </c>
      <c r="O18" s="22" t="n">
        <v>55</v>
      </c>
      <c r="P18" s="20" t="inlineStr">
        <is>
          <t>In bank and AR subledger; no GL entry within tolerance. Pending analyst review.</t>
        </is>
      </c>
      <c r="Q18" s="23" t="n"/>
      <c r="R18" s="23" t="n"/>
    </row>
    <row r="19">
      <c r="A19" s="20" t="inlineStr">
        <is>
          <t>E0018</t>
        </is>
      </c>
      <c r="B19" s="20" t="inlineStr">
        <is>
          <t>Missing in bank</t>
        </is>
      </c>
      <c r="C19" s="20" t="inlineStr">
        <is>
          <t>High</t>
        </is>
      </c>
      <c r="D19" s="20" t="inlineStr">
        <is>
          <t>SL + GL</t>
        </is>
      </c>
      <c r="E19" s="20" t="inlineStr">
        <is>
          <t>10365</t>
        </is>
      </c>
      <c r="F19" s="20" t="inlineStr">
        <is>
          <t>C042</t>
        </is>
      </c>
      <c r="G19" s="20" t="n"/>
      <c r="H19" s="20" t="inlineStr">
        <is>
          <t>S000016</t>
        </is>
      </c>
      <c r="I19" s="20" t="inlineStr">
        <is>
          <t>G000009</t>
        </is>
      </c>
      <c r="J19" s="21" t="n"/>
      <c r="K19" s="21" t="n">
        <v>8848.43</v>
      </c>
      <c r="L19" s="21" t="n">
        <v>8848.43</v>
      </c>
      <c r="M19" s="21" t="n">
        <v>8848.43</v>
      </c>
      <c r="N19" s="22" t="n">
        <v>0</v>
      </c>
      <c r="O19" s="22" t="n">
        <v>87</v>
      </c>
      <c r="P19" s="20" t="inlineStr">
        <is>
          <t>In AR subledger and GL; no matching bank credit found. Pending analyst review.</t>
        </is>
      </c>
      <c r="Q19" s="23" t="n"/>
      <c r="R19" s="23" t="n"/>
    </row>
    <row r="20">
      <c r="A20" s="20" t="inlineStr">
        <is>
          <t>E0019</t>
        </is>
      </c>
      <c r="B20" s="20" t="inlineStr">
        <is>
          <t>Missing in bank</t>
        </is>
      </c>
      <c r="C20" s="20" t="inlineStr">
        <is>
          <t>High</t>
        </is>
      </c>
      <c r="D20" s="20" t="inlineStr">
        <is>
          <t>SL + GL</t>
        </is>
      </c>
      <c r="E20" s="20" t="inlineStr">
        <is>
          <t>10090</t>
        </is>
      </c>
      <c r="F20" s="20" t="inlineStr">
        <is>
          <t>C054</t>
        </is>
      </c>
      <c r="G20" s="20" t="n"/>
      <c r="H20" s="20" t="inlineStr">
        <is>
          <t>S000465</t>
        </is>
      </c>
      <c r="I20" s="20" t="inlineStr">
        <is>
          <t>G000438</t>
        </is>
      </c>
      <c r="J20" s="21" t="n"/>
      <c r="K20" s="21" t="n">
        <v>7840.34</v>
      </c>
      <c r="L20" s="21" t="n">
        <v>7840.34</v>
      </c>
      <c r="M20" s="21" t="n">
        <v>7840.34</v>
      </c>
      <c r="N20" s="22" t="n">
        <v>0</v>
      </c>
      <c r="O20" s="22" t="n">
        <v>62</v>
      </c>
      <c r="P20" s="20" t="inlineStr">
        <is>
          <t>In AR subledger and GL; no matching bank credit found. Pending analyst review.</t>
        </is>
      </c>
      <c r="Q20" s="23" t="n"/>
      <c r="R20" s="23" t="n"/>
    </row>
    <row r="21">
      <c r="A21" s="20" t="inlineStr">
        <is>
          <t>E0020</t>
        </is>
      </c>
      <c r="B21" s="20" t="inlineStr">
        <is>
          <t>Timing gap</t>
        </is>
      </c>
      <c r="C21" s="20" t="inlineStr">
        <is>
          <t>High</t>
        </is>
      </c>
      <c r="D21" s="20" t="inlineStr">
        <is>
          <t>BANK + SL + GL</t>
        </is>
      </c>
      <c r="E21" s="20" t="inlineStr">
        <is>
          <t>10269</t>
        </is>
      </c>
      <c r="F21" s="20" t="inlineStr">
        <is>
          <t>C034</t>
        </is>
      </c>
      <c r="G21" s="20" t="inlineStr">
        <is>
          <t>B000179</t>
        </is>
      </c>
      <c r="H21" s="20" t="inlineStr">
        <is>
          <t>S000215</t>
        </is>
      </c>
      <c r="I21" s="20" t="inlineStr">
        <is>
          <t>G000579</t>
        </is>
      </c>
      <c r="J21" s="21" t="n">
        <v>6171.84</v>
      </c>
      <c r="K21" s="21" t="n">
        <v>6171.84</v>
      </c>
      <c r="L21" s="21" t="n">
        <v>6171.84</v>
      </c>
      <c r="M21" s="21" t="n">
        <v>6171.84</v>
      </c>
      <c r="N21" s="22" t="n">
        <v>26</v>
      </c>
      <c r="O21" s="22" t="n">
        <v>79</v>
      </c>
      <c r="P21" s="20" t="inlineStr">
        <is>
          <t>Ties across all three systems but dates span 26 days (tolerance 7). Pending analyst review.</t>
        </is>
      </c>
      <c r="Q21" s="23" t="n"/>
      <c r="R21" s="23" t="n"/>
    </row>
    <row r="22">
      <c r="A22" s="20" t="inlineStr">
        <is>
          <t>E0021</t>
        </is>
      </c>
      <c r="B22" s="20" t="inlineStr">
        <is>
          <t>Missing in GL</t>
        </is>
      </c>
      <c r="C22" s="20" t="inlineStr">
        <is>
          <t>High</t>
        </is>
      </c>
      <c r="D22" s="20" t="inlineStr">
        <is>
          <t>BANK + SL</t>
        </is>
      </c>
      <c r="E22" s="20" t="inlineStr">
        <is>
          <t>10039</t>
        </is>
      </c>
      <c r="F22" s="20" t="inlineStr">
        <is>
          <t>C041</t>
        </is>
      </c>
      <c r="G22" s="20" t="inlineStr">
        <is>
          <t>B000783</t>
        </is>
      </c>
      <c r="H22" s="20" t="inlineStr">
        <is>
          <t>S000827</t>
        </is>
      </c>
      <c r="I22" s="20" t="n"/>
      <c r="J22" s="21" t="n">
        <v>6165.65</v>
      </c>
      <c r="K22" s="21" t="n">
        <v>6165.65</v>
      </c>
      <c r="L22" s="21" t="n"/>
      <c r="M22" s="21" t="n">
        <v>6165.65</v>
      </c>
      <c r="N22" s="22" t="n">
        <v>3</v>
      </c>
      <c r="O22" s="22" t="n">
        <v>46</v>
      </c>
      <c r="P22" s="20" t="inlineStr">
        <is>
          <t>In bank and AR subledger; no GL entry within tolerance. Pending analyst review.</t>
        </is>
      </c>
      <c r="Q22" s="23" t="n"/>
      <c r="R22" s="23" t="n"/>
    </row>
    <row r="23">
      <c r="A23" s="20" t="inlineStr">
        <is>
          <t>E0022</t>
        </is>
      </c>
      <c r="B23" s="20" t="inlineStr">
        <is>
          <t>GL entry only</t>
        </is>
      </c>
      <c r="C23" s="20" t="inlineStr">
        <is>
          <t>High</t>
        </is>
      </c>
      <c r="D23" s="20" t="inlineStr">
        <is>
          <t>GL</t>
        </is>
      </c>
      <c r="E23" s="20" t="inlineStr">
        <is>
          <t>10544</t>
        </is>
      </c>
      <c r="F23" s="20" t="n"/>
      <c r="G23" s="20" t="n"/>
      <c r="H23" s="20" t="n"/>
      <c r="I23" s="20" t="inlineStr">
        <is>
          <t>G000865</t>
        </is>
      </c>
      <c r="J23" s="21" t="n"/>
      <c r="K23" s="21" t="n"/>
      <c r="L23" s="21" t="n">
        <v>5619.59</v>
      </c>
      <c r="M23" s="21" t="n">
        <v>5619.59</v>
      </c>
      <c r="N23" s="22" t="n">
        <v>0</v>
      </c>
      <c r="O23" s="22" t="n">
        <v>39</v>
      </c>
      <c r="P23" s="20" t="inlineStr">
        <is>
          <t>GL entry with no matching bank credit or AR application. Pending analyst review.</t>
        </is>
      </c>
      <c r="Q23" s="23" t="n"/>
      <c r="R23" s="23" t="n"/>
    </row>
    <row r="24">
      <c r="A24" s="20" t="inlineStr">
        <is>
          <t>E0023</t>
        </is>
      </c>
      <c r="B24" s="20" t="inlineStr">
        <is>
          <t>Timing gap</t>
        </is>
      </c>
      <c r="C24" s="20" t="inlineStr">
        <is>
          <t>High</t>
        </is>
      </c>
      <c r="D24" s="20" t="inlineStr">
        <is>
          <t>BANK + SL + GL</t>
        </is>
      </c>
      <c r="E24" s="20" t="inlineStr">
        <is>
          <t>11063</t>
        </is>
      </c>
      <c r="F24" s="20" t="inlineStr">
        <is>
          <t>C019</t>
        </is>
      </c>
      <c r="G24" s="20" t="inlineStr">
        <is>
          <t>B000155</t>
        </is>
      </c>
      <c r="H24" s="20" t="inlineStr">
        <is>
          <t>S000166</t>
        </is>
      </c>
      <c r="I24" s="20" t="inlineStr">
        <is>
          <t>G000483</t>
        </is>
      </c>
      <c r="J24" s="21" t="n">
        <v>5495.96</v>
      </c>
      <c r="K24" s="21" t="n">
        <v>5495.96</v>
      </c>
      <c r="L24" s="21" t="n">
        <v>5495.97</v>
      </c>
      <c r="M24" s="21" t="n">
        <v>5495.96</v>
      </c>
      <c r="N24" s="22" t="n">
        <v>20</v>
      </c>
      <c r="O24" s="22" t="n">
        <v>80</v>
      </c>
      <c r="P24" s="20" t="inlineStr">
        <is>
          <t>Ties across all three systems but dates span 20 days (tolerance 7). Pending analyst review.</t>
        </is>
      </c>
      <c r="Q24" s="23" t="n"/>
      <c r="R24" s="23" t="n"/>
    </row>
    <row r="25">
      <c r="A25" s="20" t="inlineStr">
        <is>
          <t>E0024</t>
        </is>
      </c>
      <c r="B25" s="20" t="inlineStr">
        <is>
          <t>Timing gap</t>
        </is>
      </c>
      <c r="C25" s="20" t="inlineStr">
        <is>
          <t>High</t>
        </is>
      </c>
      <c r="D25" s="20" t="inlineStr">
        <is>
          <t>BANK + SL + GL</t>
        </is>
      </c>
      <c r="E25" s="20" t="inlineStr">
        <is>
          <t>10318</t>
        </is>
      </c>
      <c r="F25" s="20" t="inlineStr">
        <is>
          <t>C043</t>
        </is>
      </c>
      <c r="G25" s="20" t="inlineStr">
        <is>
          <t>B000658</t>
        </is>
      </c>
      <c r="H25" s="20" t="inlineStr">
        <is>
          <t>S000639</t>
        </is>
      </c>
      <c r="I25" s="20" t="inlineStr">
        <is>
          <t>G001001</t>
        </is>
      </c>
      <c r="J25" s="21" t="n">
        <v>5240.76</v>
      </c>
      <c r="K25" s="21" t="n">
        <v>5240.76</v>
      </c>
      <c r="L25" s="21" t="n">
        <v>5240.76</v>
      </c>
      <c r="M25" s="21" t="n">
        <v>5240.76</v>
      </c>
      <c r="N25" s="22" t="n">
        <v>20</v>
      </c>
      <c r="O25" s="22" t="n">
        <v>52</v>
      </c>
      <c r="P25" s="20" t="inlineStr">
        <is>
          <t>Ties across all three systems but dates span 20 days (tolerance 7). Pending analyst review.</t>
        </is>
      </c>
      <c r="Q25" s="23" t="n"/>
      <c r="R25" s="23" t="n"/>
    </row>
    <row r="26">
      <c r="A26" s="20" t="inlineStr">
        <is>
          <t>E0025</t>
        </is>
      </c>
      <c r="B26" s="20" t="inlineStr">
        <is>
          <t>Ambiguous match</t>
        </is>
      </c>
      <c r="C26" s="20" t="inlineStr">
        <is>
          <t>High</t>
        </is>
      </c>
      <c r="D26" s="20" t="inlineStr">
        <is>
          <t>BANK</t>
        </is>
      </c>
      <c r="E26" s="20" t="n"/>
      <c r="F26" s="20" t="n"/>
      <c r="G26" s="20" t="inlineStr">
        <is>
          <t>B000976</t>
        </is>
      </c>
      <c r="H26" s="20" t="n"/>
      <c r="I26" s="20" t="n"/>
      <c r="J26" s="21" t="n">
        <v>5000</v>
      </c>
      <c r="K26" s="21" t="n"/>
      <c r="L26" s="21" t="n"/>
      <c r="M26" s="21" t="n">
        <v>5000</v>
      </c>
      <c r="N26" s="22" t="n">
        <v>0</v>
      </c>
      <c r="O26" s="22" t="n">
        <v>35</v>
      </c>
      <c r="P26" s="20" t="inlineStr">
        <is>
          <t>Several possible counterparts on amount and date; deliberately not auto-matched. Pending analyst review.</t>
        </is>
      </c>
      <c r="Q26" s="23" t="n"/>
      <c r="R26" s="23" t="n"/>
    </row>
    <row r="27">
      <c r="A27" s="20" t="inlineStr">
        <is>
          <t>E0026</t>
        </is>
      </c>
      <c r="B27" s="20" t="inlineStr">
        <is>
          <t>Missing in bank</t>
        </is>
      </c>
      <c r="C27" s="20" t="inlineStr">
        <is>
          <t>High</t>
        </is>
      </c>
      <c r="D27" s="20" t="inlineStr">
        <is>
          <t>SL + GL</t>
        </is>
      </c>
      <c r="E27" s="20" t="inlineStr">
        <is>
          <t>10536</t>
        </is>
      </c>
      <c r="F27" s="20" t="inlineStr">
        <is>
          <t>C059</t>
        </is>
      </c>
      <c r="G27" s="20" t="n"/>
      <c r="H27" s="20" t="inlineStr">
        <is>
          <t>S000936</t>
        </is>
      </c>
      <c r="I27" s="20" t="inlineStr">
        <is>
          <t>G000908</t>
        </is>
      </c>
      <c r="J27" s="21" t="n"/>
      <c r="K27" s="21" t="n">
        <v>5000</v>
      </c>
      <c r="L27" s="21" t="n">
        <v>5000</v>
      </c>
      <c r="M27" s="21" t="n">
        <v>5000</v>
      </c>
      <c r="N27" s="22" t="n">
        <v>0</v>
      </c>
      <c r="O27" s="22" t="n">
        <v>37</v>
      </c>
      <c r="P27" s="20" t="inlineStr">
        <is>
          <t>In AR subledger and GL; no matching bank credit found. Pending analyst review.</t>
        </is>
      </c>
      <c r="Q27" s="23" t="n"/>
      <c r="R27" s="23" t="n"/>
    </row>
    <row r="28">
      <c r="A28" s="20" t="inlineStr">
        <is>
          <t>E0027</t>
        </is>
      </c>
      <c r="B28" s="20" t="inlineStr">
        <is>
          <t>Missing in bank</t>
        </is>
      </c>
      <c r="C28" s="20" t="inlineStr">
        <is>
          <t>High</t>
        </is>
      </c>
      <c r="D28" s="20" t="inlineStr">
        <is>
          <t>SL + GL</t>
        </is>
      </c>
      <c r="E28" s="20" t="inlineStr">
        <is>
          <t>10566</t>
        </is>
      </c>
      <c r="F28" s="20" t="inlineStr">
        <is>
          <t>C016</t>
        </is>
      </c>
      <c r="G28" s="20" t="n"/>
      <c r="H28" s="20" t="inlineStr">
        <is>
          <t>S000965</t>
        </is>
      </c>
      <c r="I28" s="20" t="inlineStr">
        <is>
          <t>G000948</t>
        </is>
      </c>
      <c r="J28" s="21" t="n"/>
      <c r="K28" s="21" t="n">
        <v>5000</v>
      </c>
      <c r="L28" s="21" t="n">
        <v>5000</v>
      </c>
      <c r="M28" s="21" t="n">
        <v>5000</v>
      </c>
      <c r="N28" s="22" t="n">
        <v>0</v>
      </c>
      <c r="O28" s="22" t="n">
        <v>35</v>
      </c>
      <c r="P28" s="20" t="inlineStr">
        <is>
          <t>In AR subledger and GL; no matching bank credit found. Pending analyst review.</t>
        </is>
      </c>
      <c r="Q28" s="23" t="n"/>
      <c r="R28" s="23" t="n"/>
    </row>
    <row r="29">
      <c r="A29" s="20" t="inlineStr">
        <is>
          <t>E0028</t>
        </is>
      </c>
      <c r="B29" s="20" t="inlineStr">
        <is>
          <t>Missing in GL</t>
        </is>
      </c>
      <c r="C29" s="20" t="inlineStr">
        <is>
          <t>Medium</t>
        </is>
      </c>
      <c r="D29" s="20" t="inlineStr">
        <is>
          <t>BANK + SL</t>
        </is>
      </c>
      <c r="E29" s="20" t="inlineStr">
        <is>
          <t>11125</t>
        </is>
      </c>
      <c r="F29" s="20" t="inlineStr">
        <is>
          <t>C054</t>
        </is>
      </c>
      <c r="G29" s="20" t="inlineStr">
        <is>
          <t>B000133</t>
        </is>
      </c>
      <c r="H29" s="20" t="inlineStr">
        <is>
          <t>S000157</t>
        </is>
      </c>
      <c r="I29" s="20" t="n"/>
      <c r="J29" s="21" t="n">
        <v>4850.79</v>
      </c>
      <c r="K29" s="21" t="n">
        <v>4850.79</v>
      </c>
      <c r="L29" s="21" t="n"/>
      <c r="M29" s="21" t="n">
        <v>4850.79</v>
      </c>
      <c r="N29" s="22" t="n">
        <v>2</v>
      </c>
      <c r="O29" s="22" t="n">
        <v>81</v>
      </c>
      <c r="P29" s="20" t="inlineStr">
        <is>
          <t>In bank and AR subledger; no GL entry within tolerance. Pending analyst review.</t>
        </is>
      </c>
      <c r="Q29" s="23" t="n"/>
      <c r="R29" s="23" t="n"/>
    </row>
    <row r="30">
      <c r="A30" s="20" t="inlineStr">
        <is>
          <t>E0029</t>
        </is>
      </c>
      <c r="B30" s="20" t="inlineStr">
        <is>
          <t>Timing gap</t>
        </is>
      </c>
      <c r="C30" s="20" t="inlineStr">
        <is>
          <t>Medium</t>
        </is>
      </c>
      <c r="D30" s="20" t="inlineStr">
        <is>
          <t>BANK + SL + GL</t>
        </is>
      </c>
      <c r="E30" s="20" t="inlineStr">
        <is>
          <t>10383</t>
        </is>
      </c>
      <c r="F30" s="20" t="inlineStr">
        <is>
          <t>C004</t>
        </is>
      </c>
      <c r="G30" s="20" t="inlineStr">
        <is>
          <t>B001467</t>
        </is>
      </c>
      <c r="H30" s="20" t="inlineStr">
        <is>
          <t>S001479</t>
        </is>
      </c>
      <c r="I30" s="20" t="inlineStr">
        <is>
          <t>G001471</t>
        </is>
      </c>
      <c r="J30" s="21" t="n">
        <v>4764.95</v>
      </c>
      <c r="K30" s="21" t="n">
        <v>4765.3</v>
      </c>
      <c r="L30" s="21" t="n">
        <v>4765.3</v>
      </c>
      <c r="M30" s="21" t="n">
        <v>4765.3</v>
      </c>
      <c r="N30" s="22" t="n">
        <v>23</v>
      </c>
      <c r="O30" s="22" t="n">
        <v>9</v>
      </c>
      <c r="P30" s="20" t="inlineStr">
        <is>
          <t>Ties across all three systems but dates span 23 days (tolerance 7). Pending analyst review.</t>
        </is>
      </c>
      <c r="Q30" s="23" t="n"/>
      <c r="R30" s="23" t="n"/>
    </row>
    <row r="31">
      <c r="A31" s="20" t="inlineStr">
        <is>
          <t>E0030</t>
        </is>
      </c>
      <c r="B31" s="20" t="inlineStr">
        <is>
          <t>Amount mismatch</t>
        </is>
      </c>
      <c r="C31" s="20" t="inlineStr">
        <is>
          <t>Medium</t>
        </is>
      </c>
      <c r="D31" s="20" t="inlineStr">
        <is>
          <t>BANK + SL + GL</t>
        </is>
      </c>
      <c r="E31" s="20" t="inlineStr">
        <is>
          <t>10033</t>
        </is>
      </c>
      <c r="F31" s="20" t="inlineStr">
        <is>
          <t>C048</t>
        </is>
      </c>
      <c r="G31" s="20" t="inlineStr">
        <is>
          <t>B001084</t>
        </is>
      </c>
      <c r="H31" s="20" t="inlineStr">
        <is>
          <t>S001074</t>
        </is>
      </c>
      <c r="I31" s="20" t="inlineStr">
        <is>
          <t>G001047</t>
        </is>
      </c>
      <c r="J31" s="21" t="n">
        <v>11645.51</v>
      </c>
      <c r="K31" s="21" t="n">
        <v>16145.51</v>
      </c>
      <c r="L31" s="21" t="n">
        <v>11645.51</v>
      </c>
      <c r="M31" s="21" t="n">
        <v>4500</v>
      </c>
      <c r="N31" s="22" t="n">
        <v>0</v>
      </c>
      <c r="O31" s="22" t="n">
        <v>29</v>
      </c>
      <c r="P31" s="20" t="inlineStr">
        <is>
          <t>Reference ties across all three systems but amounts differ by $4500.00 (tolerance $1.00). Pending analyst review.</t>
        </is>
      </c>
      <c r="Q31" s="23" t="n"/>
      <c r="R31" s="23" t="n"/>
    </row>
    <row r="32">
      <c r="A32" s="20" t="inlineStr">
        <is>
          <t>E0031</t>
        </is>
      </c>
      <c r="B32" s="20" t="inlineStr">
        <is>
          <t>Missing in AR</t>
        </is>
      </c>
      <c r="C32" s="20" t="inlineStr">
        <is>
          <t>Medium</t>
        </is>
      </c>
      <c r="D32" s="20" t="inlineStr">
        <is>
          <t>BANK + GL</t>
        </is>
      </c>
      <c r="E32" s="20" t="inlineStr">
        <is>
          <t>11227</t>
        </is>
      </c>
      <c r="F32" s="20" t="n"/>
      <c r="G32" s="20" t="inlineStr">
        <is>
          <t>B001465</t>
        </is>
      </c>
      <c r="H32" s="20" t="n"/>
      <c r="I32" s="20" t="inlineStr">
        <is>
          <t>G001461</t>
        </is>
      </c>
      <c r="J32" s="21" t="n">
        <v>4482.13</v>
      </c>
      <c r="K32" s="21" t="n"/>
      <c r="L32" s="21" t="n">
        <v>4482.13</v>
      </c>
      <c r="M32" s="21" t="n">
        <v>4482.13</v>
      </c>
      <c r="N32" s="22" t="n">
        <v>3</v>
      </c>
      <c r="O32" s="22" t="n">
        <v>9</v>
      </c>
      <c r="P32" s="20" t="inlineStr">
        <is>
          <t>In bank and GL; no AR subledger application found. Pending analyst review.</t>
        </is>
      </c>
      <c r="Q32" s="23" t="n"/>
      <c r="R32" s="23" t="n"/>
    </row>
    <row r="33">
      <c r="A33" s="20" t="inlineStr">
        <is>
          <t>E0032</t>
        </is>
      </c>
      <c r="B33" s="20" t="inlineStr">
        <is>
          <t>Timing gap</t>
        </is>
      </c>
      <c r="C33" s="20" t="inlineStr">
        <is>
          <t>Medium</t>
        </is>
      </c>
      <c r="D33" s="20" t="inlineStr">
        <is>
          <t>BANK + SL + GL</t>
        </is>
      </c>
      <c r="E33" s="20" t="inlineStr">
        <is>
          <t>11351</t>
        </is>
      </c>
      <c r="F33" s="20" t="inlineStr">
        <is>
          <t>C052</t>
        </is>
      </c>
      <c r="G33" s="20" t="inlineStr">
        <is>
          <t>B001159</t>
        </is>
      </c>
      <c r="H33" s="20" t="inlineStr">
        <is>
          <t>S001209</t>
        </is>
      </c>
      <c r="I33" s="20" t="inlineStr">
        <is>
          <t>G001468</t>
        </is>
      </c>
      <c r="J33" s="21" t="n">
        <v>4439.22</v>
      </c>
      <c r="K33" s="21" t="n">
        <v>4439.22</v>
      </c>
      <c r="L33" s="21" t="n">
        <v>4439.23</v>
      </c>
      <c r="M33" s="21" t="n">
        <v>4439.22</v>
      </c>
      <c r="N33" s="22" t="n">
        <v>21</v>
      </c>
      <c r="O33" s="22" t="n">
        <v>25</v>
      </c>
      <c r="P33" s="20" t="inlineStr">
        <is>
          <t>Ties across all three systems but dates span 21 days (tolerance 7). Pending analyst review.</t>
        </is>
      </c>
      <c r="Q33" s="23" t="n"/>
      <c r="R33" s="23" t="n"/>
    </row>
    <row r="34">
      <c r="A34" s="20" t="inlineStr">
        <is>
          <t>E0033</t>
        </is>
      </c>
      <c r="B34" s="20" t="inlineStr">
        <is>
          <t>Missing in AR</t>
        </is>
      </c>
      <c r="C34" s="20" t="inlineStr">
        <is>
          <t>Medium</t>
        </is>
      </c>
      <c r="D34" s="20" t="inlineStr">
        <is>
          <t>BANK + GL</t>
        </is>
      </c>
      <c r="E34" s="20" t="inlineStr">
        <is>
          <t>11402</t>
        </is>
      </c>
      <c r="F34" s="20" t="n"/>
      <c r="G34" s="20" t="inlineStr">
        <is>
          <t>B000166</t>
        </is>
      </c>
      <c r="H34" s="20" t="n"/>
      <c r="I34" s="20" t="inlineStr">
        <is>
          <t>G000150</t>
        </is>
      </c>
      <c r="J34" s="21" t="n">
        <v>4307.23</v>
      </c>
      <c r="K34" s="21" t="n"/>
      <c r="L34" s="21" t="n">
        <v>4307.73</v>
      </c>
      <c r="M34" s="21" t="n">
        <v>4307.73</v>
      </c>
      <c r="N34" s="22" t="n">
        <v>0</v>
      </c>
      <c r="O34" s="22" t="n">
        <v>79</v>
      </c>
      <c r="P34" s="20" t="inlineStr">
        <is>
          <t>In bank and GL; no AR subledger application found. Pending analyst review.</t>
        </is>
      </c>
      <c r="Q34" s="23" t="n"/>
      <c r="R34" s="23" t="n"/>
    </row>
    <row r="35">
      <c r="A35" s="20" t="inlineStr">
        <is>
          <t>E0034</t>
        </is>
      </c>
      <c r="B35" s="20" t="inlineStr">
        <is>
          <t>Timing gap</t>
        </is>
      </c>
      <c r="C35" s="20" t="inlineStr">
        <is>
          <t>Medium</t>
        </is>
      </c>
      <c r="D35" s="20" t="inlineStr">
        <is>
          <t>BANK + SL + GL</t>
        </is>
      </c>
      <c r="E35" s="20" t="inlineStr">
        <is>
          <t>11311</t>
        </is>
      </c>
      <c r="F35" s="20" t="inlineStr">
        <is>
          <t>C036</t>
        </is>
      </c>
      <c r="G35" s="20" t="inlineStr">
        <is>
          <t>B000400</t>
        </is>
      </c>
      <c r="H35" s="20" t="inlineStr">
        <is>
          <t>S000397</t>
        </is>
      </c>
      <c r="I35" s="20" t="inlineStr">
        <is>
          <t>G000878</t>
        </is>
      </c>
      <c r="J35" s="21" t="n">
        <v>4244.35</v>
      </c>
      <c r="K35" s="21" t="n">
        <v>4244.35</v>
      </c>
      <c r="L35" s="21" t="n">
        <v>4244.35</v>
      </c>
      <c r="M35" s="21" t="n">
        <v>4244.35</v>
      </c>
      <c r="N35" s="22" t="n">
        <v>28</v>
      </c>
      <c r="O35" s="22" t="n">
        <v>66</v>
      </c>
      <c r="P35" s="20" t="inlineStr">
        <is>
          <t>Ties across all three systems but dates span 28 days (tolerance 7). Pending analyst review.</t>
        </is>
      </c>
      <c r="Q35" s="23" t="n"/>
      <c r="R35" s="23" t="n"/>
    </row>
    <row r="36">
      <c r="A36" s="20" t="inlineStr">
        <is>
          <t>E0035</t>
        </is>
      </c>
      <c r="B36" s="20" t="inlineStr">
        <is>
          <t>Duplicate posting</t>
        </is>
      </c>
      <c r="C36" s="20" t="inlineStr">
        <is>
          <t>Medium</t>
        </is>
      </c>
      <c r="D36" s="20" t="inlineStr">
        <is>
          <t>GL</t>
        </is>
      </c>
      <c r="E36" s="20" t="inlineStr">
        <is>
          <t>10120</t>
        </is>
      </c>
      <c r="F36" s="20" t="n"/>
      <c r="G36" s="20" t="n"/>
      <c r="H36" s="20" t="n"/>
      <c r="I36" s="20" t="inlineStr">
        <is>
          <t>G001078</t>
        </is>
      </c>
      <c r="J36" s="21" t="n"/>
      <c r="K36" s="21" t="n"/>
      <c r="L36" s="21" t="n">
        <v>4228.34</v>
      </c>
      <c r="M36" s="21" t="n">
        <v>4228.34</v>
      </c>
      <c r="N36" s="22" t="n">
        <v>0</v>
      </c>
      <c r="O36" s="22" t="n">
        <v>28</v>
      </c>
      <c r="P36" s="20" t="inlineStr">
        <is>
          <t>Same reference and amount already posted once in GL (G001066). Pending analyst review.</t>
        </is>
      </c>
      <c r="Q36" s="23" t="n"/>
      <c r="R36" s="23" t="n"/>
    </row>
    <row r="37">
      <c r="A37" s="20" t="inlineStr">
        <is>
          <t>E0036</t>
        </is>
      </c>
      <c r="B37" s="20" t="inlineStr">
        <is>
          <t>Missing in GL</t>
        </is>
      </c>
      <c r="C37" s="20" t="inlineStr">
        <is>
          <t>Medium</t>
        </is>
      </c>
      <c r="D37" s="20" t="inlineStr">
        <is>
          <t>BANK + SL</t>
        </is>
      </c>
      <c r="E37" s="20" t="inlineStr">
        <is>
          <t>10550</t>
        </is>
      </c>
      <c r="F37" s="20" t="inlineStr">
        <is>
          <t>C060</t>
        </is>
      </c>
      <c r="G37" s="20" t="inlineStr">
        <is>
          <t>B000171</t>
        </is>
      </c>
      <c r="H37" s="20" t="inlineStr">
        <is>
          <t>S000156</t>
        </is>
      </c>
      <c r="I37" s="20" t="n"/>
      <c r="J37" s="21" t="n">
        <v>4154.48</v>
      </c>
      <c r="K37" s="21" t="n">
        <v>4154.48</v>
      </c>
      <c r="L37" s="21" t="n"/>
      <c r="M37" s="21" t="n">
        <v>4154.48</v>
      </c>
      <c r="N37" s="22" t="n">
        <v>0</v>
      </c>
      <c r="O37" s="22" t="n">
        <v>79</v>
      </c>
      <c r="P37" s="20" t="inlineStr">
        <is>
          <t>In bank and AR subledger; no GL entry within tolerance. Pending analyst review.</t>
        </is>
      </c>
      <c r="Q37" s="23" t="n"/>
      <c r="R37" s="23" t="n"/>
    </row>
    <row r="38">
      <c r="A38" s="20" t="inlineStr">
        <is>
          <t>E0037</t>
        </is>
      </c>
      <c r="B38" s="20" t="inlineStr">
        <is>
          <t>Bank credit only</t>
        </is>
      </c>
      <c r="C38" s="20" t="inlineStr">
        <is>
          <t>Medium</t>
        </is>
      </c>
      <c r="D38" s="20" t="inlineStr">
        <is>
          <t>BANK</t>
        </is>
      </c>
      <c r="E38" s="20" t="inlineStr">
        <is>
          <t>11445</t>
        </is>
      </c>
      <c r="F38" s="20" t="n"/>
      <c r="G38" s="20" t="inlineStr">
        <is>
          <t>B001168</t>
        </is>
      </c>
      <c r="H38" s="20" t="n"/>
      <c r="I38" s="20" t="n"/>
      <c r="J38" s="21" t="n">
        <v>4111.83</v>
      </c>
      <c r="K38" s="21" t="n"/>
      <c r="L38" s="21" t="n"/>
      <c r="M38" s="21" t="n">
        <v>4111.83</v>
      </c>
      <c r="N38" s="22" t="n">
        <v>0</v>
      </c>
      <c r="O38" s="22" t="n">
        <v>25</v>
      </c>
      <c r="P38" s="20" t="inlineStr">
        <is>
          <t>Bank credit with no matching AR or GL record. Pending analyst review.</t>
        </is>
      </c>
      <c r="Q38" s="23" t="n"/>
      <c r="R38" s="23" t="n"/>
    </row>
    <row r="39">
      <c r="A39" s="20" t="inlineStr">
        <is>
          <t>E0038</t>
        </is>
      </c>
      <c r="B39" s="20" t="inlineStr">
        <is>
          <t>Duplicate posting</t>
        </is>
      </c>
      <c r="C39" s="20" t="inlineStr">
        <is>
          <t>Medium</t>
        </is>
      </c>
      <c r="D39" s="20" t="inlineStr">
        <is>
          <t>GL</t>
        </is>
      </c>
      <c r="E39" s="20" t="inlineStr">
        <is>
          <t>10471</t>
        </is>
      </c>
      <c r="F39" s="20" t="n"/>
      <c r="G39" s="20" t="n"/>
      <c r="H39" s="20" t="n"/>
      <c r="I39" s="20" t="inlineStr">
        <is>
          <t>G000433</t>
        </is>
      </c>
      <c r="J39" s="21" t="n"/>
      <c r="K39" s="21" t="n"/>
      <c r="L39" s="21" t="n">
        <v>4042.96</v>
      </c>
      <c r="M39" s="21" t="n">
        <v>4042.96</v>
      </c>
      <c r="N39" s="22" t="n">
        <v>1</v>
      </c>
      <c r="O39" s="22" t="n">
        <v>62</v>
      </c>
      <c r="P39" s="20" t="inlineStr">
        <is>
          <t>Same reference and amount already posted once in GL (G000416). Pending analyst review.</t>
        </is>
      </c>
      <c r="Q39" s="23" t="n"/>
      <c r="R39" s="23" t="n"/>
    </row>
    <row r="40">
      <c r="A40" s="20" t="inlineStr">
        <is>
          <t>E0039</t>
        </is>
      </c>
      <c r="B40" s="20" t="inlineStr">
        <is>
          <t>Missing in AR</t>
        </is>
      </c>
      <c r="C40" s="20" t="inlineStr">
        <is>
          <t>Medium</t>
        </is>
      </c>
      <c r="D40" s="20" t="inlineStr">
        <is>
          <t>BANK + GL</t>
        </is>
      </c>
      <c r="E40" s="20" t="inlineStr">
        <is>
          <t>10344</t>
        </is>
      </c>
      <c r="F40" s="20" t="n"/>
      <c r="G40" s="20" t="inlineStr">
        <is>
          <t>B001361</t>
        </is>
      </c>
      <c r="H40" s="20" t="n"/>
      <c r="I40" s="20" t="inlineStr">
        <is>
          <t>G001334</t>
        </is>
      </c>
      <c r="J40" s="21" t="n">
        <v>3941.83</v>
      </c>
      <c r="K40" s="21" t="n"/>
      <c r="L40" s="21" t="n">
        <v>3941.83</v>
      </c>
      <c r="M40" s="21" t="n">
        <v>3941.83</v>
      </c>
      <c r="N40" s="22" t="n">
        <v>0</v>
      </c>
      <c r="O40" s="22" t="n">
        <v>14</v>
      </c>
      <c r="P40" s="20" t="inlineStr">
        <is>
          <t>In bank and GL; no AR subledger application found. Pending analyst review.</t>
        </is>
      </c>
      <c r="Q40" s="23" t="n"/>
      <c r="R40" s="23" t="n"/>
    </row>
    <row r="41">
      <c r="A41" s="20" t="inlineStr">
        <is>
          <t>E0040</t>
        </is>
      </c>
      <c r="B41" s="20" t="inlineStr">
        <is>
          <t>Duplicate posting</t>
        </is>
      </c>
      <c r="C41" s="20" t="inlineStr">
        <is>
          <t>Medium</t>
        </is>
      </c>
      <c r="D41" s="20" t="inlineStr">
        <is>
          <t>GL</t>
        </is>
      </c>
      <c r="E41" s="20" t="inlineStr">
        <is>
          <t>11087</t>
        </is>
      </c>
      <c r="F41" s="20" t="n"/>
      <c r="G41" s="20" t="n"/>
      <c r="H41" s="20" t="n"/>
      <c r="I41" s="20" t="inlineStr">
        <is>
          <t>G000975</t>
        </is>
      </c>
      <c r="J41" s="21" t="n"/>
      <c r="K41" s="21" t="n"/>
      <c r="L41" s="21" t="n">
        <v>3884.22</v>
      </c>
      <c r="M41" s="21" t="n">
        <v>3884.22</v>
      </c>
      <c r="N41" s="22" t="n">
        <v>2</v>
      </c>
      <c r="O41" s="22" t="n">
        <v>33</v>
      </c>
      <c r="P41" s="20" t="inlineStr">
        <is>
          <t>Same reference and amount already posted once in GL (G000958). Pending analyst review.</t>
        </is>
      </c>
      <c r="Q41" s="23" t="n"/>
      <c r="R41" s="23" t="n"/>
    </row>
    <row r="42">
      <c r="A42" s="20" t="inlineStr">
        <is>
          <t>E0041</t>
        </is>
      </c>
      <c r="B42" s="20" t="inlineStr">
        <is>
          <t>Timing gap</t>
        </is>
      </c>
      <c r="C42" s="20" t="inlineStr">
        <is>
          <t>Medium</t>
        </is>
      </c>
      <c r="D42" s="20" t="inlineStr">
        <is>
          <t>BANK + SL + GL</t>
        </is>
      </c>
      <c r="E42" s="20" t="inlineStr">
        <is>
          <t>10608</t>
        </is>
      </c>
      <c r="F42" s="20" t="inlineStr">
        <is>
          <t>C018</t>
        </is>
      </c>
      <c r="G42" s="20" t="inlineStr">
        <is>
          <t>B000412</t>
        </is>
      </c>
      <c r="H42" s="20" t="inlineStr">
        <is>
          <t>S000456</t>
        </is>
      </c>
      <c r="I42" s="20" t="inlineStr">
        <is>
          <t>G000747</t>
        </is>
      </c>
      <c r="J42" s="21" t="n">
        <v>3866.74</v>
      </c>
      <c r="K42" s="21" t="n">
        <v>3866.74</v>
      </c>
      <c r="L42" s="21" t="n">
        <v>3866.74</v>
      </c>
      <c r="M42" s="21" t="n">
        <v>3866.74</v>
      </c>
      <c r="N42" s="22" t="n">
        <v>19</v>
      </c>
      <c r="O42" s="22" t="n">
        <v>65</v>
      </c>
      <c r="P42" s="20" t="inlineStr">
        <is>
          <t>Ties across all three systems but dates span 19 days (tolerance 7). Pending analyst review.</t>
        </is>
      </c>
      <c r="Q42" s="23" t="n"/>
      <c r="R42" s="23" t="n"/>
    </row>
    <row r="43">
      <c r="A43" s="20" t="inlineStr">
        <is>
          <t>E0042</t>
        </is>
      </c>
      <c r="B43" s="20" t="inlineStr">
        <is>
          <t>Missing in bank</t>
        </is>
      </c>
      <c r="C43" s="20" t="inlineStr">
        <is>
          <t>Medium</t>
        </is>
      </c>
      <c r="D43" s="20" t="inlineStr">
        <is>
          <t>SL + GL</t>
        </is>
      </c>
      <c r="E43" s="20" t="inlineStr">
        <is>
          <t>10362</t>
        </is>
      </c>
      <c r="F43" s="20" t="inlineStr">
        <is>
          <t>C028</t>
        </is>
      </c>
      <c r="G43" s="20" t="n"/>
      <c r="H43" s="20" t="inlineStr">
        <is>
          <t>S001132</t>
        </is>
      </c>
      <c r="I43" s="20" t="inlineStr">
        <is>
          <t>G001133</t>
        </is>
      </c>
      <c r="J43" s="21" t="n"/>
      <c r="K43" s="21" t="n">
        <v>3826.2</v>
      </c>
      <c r="L43" s="21" t="n">
        <v>3826.2</v>
      </c>
      <c r="M43" s="21" t="n">
        <v>3826.2</v>
      </c>
      <c r="N43" s="22" t="n">
        <v>1</v>
      </c>
      <c r="O43" s="22" t="n">
        <v>26</v>
      </c>
      <c r="P43" s="20" t="inlineStr">
        <is>
          <t>In AR subledger and GL; no matching bank credit found. Pending analyst review.</t>
        </is>
      </c>
      <c r="Q43" s="23" t="n"/>
      <c r="R43" s="23" t="n"/>
    </row>
    <row r="44">
      <c r="A44" s="20" t="inlineStr">
        <is>
          <t>E0043</t>
        </is>
      </c>
      <c r="B44" s="20" t="inlineStr">
        <is>
          <t>Missing in AR</t>
        </is>
      </c>
      <c r="C44" s="20" t="inlineStr">
        <is>
          <t>Medium</t>
        </is>
      </c>
      <c r="D44" s="20" t="inlineStr">
        <is>
          <t>BANK + GL</t>
        </is>
      </c>
      <c r="E44" s="20" t="inlineStr">
        <is>
          <t>10775</t>
        </is>
      </c>
      <c r="F44" s="20" t="n"/>
      <c r="G44" s="20" t="inlineStr">
        <is>
          <t>B000630</t>
        </is>
      </c>
      <c r="H44" s="20" t="n"/>
      <c r="I44" s="20" t="inlineStr">
        <is>
          <t>G000588</t>
        </is>
      </c>
      <c r="J44" s="21" t="n">
        <v>3603.25</v>
      </c>
      <c r="K44" s="21" t="n"/>
      <c r="L44" s="21" t="n">
        <v>3603.25</v>
      </c>
      <c r="M44" s="21" t="n">
        <v>3603.25</v>
      </c>
      <c r="N44" s="22" t="n">
        <v>0</v>
      </c>
      <c r="O44" s="22" t="n">
        <v>53</v>
      </c>
      <c r="P44" s="20" t="inlineStr">
        <is>
          <t>In bank and GL; no AR subledger application found. Pending analyst review.</t>
        </is>
      </c>
      <c r="Q44" s="23" t="n"/>
      <c r="R44" s="23" t="n"/>
    </row>
    <row r="45">
      <c r="A45" s="20" t="inlineStr">
        <is>
          <t>E0044</t>
        </is>
      </c>
      <c r="B45" s="20" t="inlineStr">
        <is>
          <t>Amount mismatch</t>
        </is>
      </c>
      <c r="C45" s="20" t="inlineStr">
        <is>
          <t>Medium</t>
        </is>
      </c>
      <c r="D45" s="20" t="inlineStr">
        <is>
          <t>BANK + SL + GL</t>
        </is>
      </c>
      <c r="E45" s="20" t="inlineStr">
        <is>
          <t>10789</t>
        </is>
      </c>
      <c r="F45" s="20" t="inlineStr">
        <is>
          <t>C029</t>
        </is>
      </c>
      <c r="G45" s="20" t="inlineStr">
        <is>
          <t>B000690</t>
        </is>
      </c>
      <c r="H45" s="20" t="inlineStr">
        <is>
          <t>S000684</t>
        </is>
      </c>
      <c r="I45" s="20" t="inlineStr">
        <is>
          <t>G000673</t>
        </is>
      </c>
      <c r="J45" s="21" t="n">
        <v>2644.54</v>
      </c>
      <c r="K45" s="21" t="n">
        <v>2644.79</v>
      </c>
      <c r="L45" s="21" t="n">
        <v>6244.79</v>
      </c>
      <c r="M45" s="21" t="n">
        <v>3600.25</v>
      </c>
      <c r="N45" s="22" t="n">
        <v>1</v>
      </c>
      <c r="O45" s="22" t="n">
        <v>50</v>
      </c>
      <c r="P45" s="20" t="inlineStr">
        <is>
          <t>Reference ties across all three systems but amounts differ by $3600.25 (tolerance $1.00). Pending analyst review.</t>
        </is>
      </c>
      <c r="Q45" s="23" t="n"/>
      <c r="R45" s="23" t="n"/>
    </row>
    <row r="46">
      <c r="A46" s="20" t="inlineStr">
        <is>
          <t>E0045</t>
        </is>
      </c>
      <c r="B46" s="20" t="inlineStr">
        <is>
          <t>Duplicate posting</t>
        </is>
      </c>
      <c r="C46" s="20" t="inlineStr">
        <is>
          <t>Medium</t>
        </is>
      </c>
      <c r="D46" s="20" t="inlineStr">
        <is>
          <t>GL</t>
        </is>
      </c>
      <c r="E46" s="20" t="inlineStr">
        <is>
          <t>10155</t>
        </is>
      </c>
      <c r="F46" s="20" t="n"/>
      <c r="G46" s="20" t="n"/>
      <c r="H46" s="20" t="n"/>
      <c r="I46" s="20" t="inlineStr">
        <is>
          <t>G000970</t>
        </is>
      </c>
      <c r="J46" s="21" t="n"/>
      <c r="K46" s="21" t="n"/>
      <c r="L46" s="21" t="n">
        <v>3525.18</v>
      </c>
      <c r="M46" s="21" t="n">
        <v>3525.18</v>
      </c>
      <c r="N46" s="22" t="n">
        <v>1</v>
      </c>
      <c r="O46" s="22" t="n">
        <v>34</v>
      </c>
      <c r="P46" s="20" t="inlineStr">
        <is>
          <t>Same reference and amount already posted once in GL (G000950). Pending analyst review.</t>
        </is>
      </c>
      <c r="Q46" s="23" t="n"/>
      <c r="R46" s="23" t="n"/>
    </row>
    <row r="47">
      <c r="A47" s="20" t="inlineStr">
        <is>
          <t>E0046</t>
        </is>
      </c>
      <c r="B47" s="20" t="inlineStr">
        <is>
          <t>Missing in bank</t>
        </is>
      </c>
      <c r="C47" s="20" t="inlineStr">
        <is>
          <t>Medium</t>
        </is>
      </c>
      <c r="D47" s="20" t="inlineStr">
        <is>
          <t>SL + GL</t>
        </is>
      </c>
      <c r="E47" s="20" t="inlineStr">
        <is>
          <t>10776</t>
        </is>
      </c>
      <c r="F47" s="20" t="inlineStr">
        <is>
          <t>C004</t>
        </is>
      </c>
      <c r="G47" s="20" t="n"/>
      <c r="H47" s="20" t="inlineStr">
        <is>
          <t>S000091</t>
        </is>
      </c>
      <c r="I47" s="20" t="inlineStr">
        <is>
          <t>G000063</t>
        </is>
      </c>
      <c r="J47" s="21" t="n"/>
      <c r="K47" s="21" t="n">
        <v>3495.07</v>
      </c>
      <c r="L47" s="21" t="n">
        <v>3495.07</v>
      </c>
      <c r="M47" s="21" t="n">
        <v>3495.07</v>
      </c>
      <c r="N47" s="22" t="n">
        <v>0</v>
      </c>
      <c r="O47" s="22" t="n">
        <v>83</v>
      </c>
      <c r="P47" s="20" t="inlineStr">
        <is>
          <t>In AR subledger and GL; no matching bank credit found. Pending analyst review.</t>
        </is>
      </c>
      <c r="Q47" s="23" t="n"/>
      <c r="R47" s="23" t="n"/>
    </row>
    <row r="48">
      <c r="A48" s="20" t="inlineStr">
        <is>
          <t>E0047</t>
        </is>
      </c>
      <c r="B48" s="20" t="inlineStr">
        <is>
          <t>Missing in GL</t>
        </is>
      </c>
      <c r="C48" s="20" t="inlineStr">
        <is>
          <t>Medium</t>
        </is>
      </c>
      <c r="D48" s="20" t="inlineStr">
        <is>
          <t>BANK + SL</t>
        </is>
      </c>
      <c r="E48" s="20" t="inlineStr">
        <is>
          <t>10089</t>
        </is>
      </c>
      <c r="F48" s="20" t="inlineStr">
        <is>
          <t>C043</t>
        </is>
      </c>
      <c r="G48" s="20" t="inlineStr">
        <is>
          <t>B001350</t>
        </is>
      </c>
      <c r="H48" s="20" t="inlineStr">
        <is>
          <t>S001378</t>
        </is>
      </c>
      <c r="I48" s="20" t="n"/>
      <c r="J48" s="21" t="n">
        <v>3493.32</v>
      </c>
      <c r="K48" s="21" t="n">
        <v>3493.82</v>
      </c>
      <c r="L48" s="21" t="n"/>
      <c r="M48" s="21" t="n">
        <v>3493.82</v>
      </c>
      <c r="N48" s="22" t="n">
        <v>2</v>
      </c>
      <c r="O48" s="22" t="n">
        <v>15</v>
      </c>
      <c r="P48" s="20" t="inlineStr">
        <is>
          <t>In bank and AR subledger; no GL entry within tolerance. Pending analyst review.</t>
        </is>
      </c>
      <c r="Q48" s="23" t="n"/>
      <c r="R48" s="23" t="n"/>
    </row>
    <row r="49">
      <c r="A49" s="20" t="inlineStr">
        <is>
          <t>E0048</t>
        </is>
      </c>
      <c r="B49" s="20" t="inlineStr">
        <is>
          <t>Missing in AR</t>
        </is>
      </c>
      <c r="C49" s="20" t="inlineStr">
        <is>
          <t>Medium</t>
        </is>
      </c>
      <c r="D49" s="20" t="inlineStr">
        <is>
          <t>BANK + GL</t>
        </is>
      </c>
      <c r="E49" s="20" t="inlineStr">
        <is>
          <t>10180</t>
        </is>
      </c>
      <c r="F49" s="20" t="n"/>
      <c r="G49" s="20" t="inlineStr">
        <is>
          <t>B000127</t>
        </is>
      </c>
      <c r="H49" s="20" t="n"/>
      <c r="I49" s="20" t="inlineStr">
        <is>
          <t>G000154</t>
        </is>
      </c>
      <c r="J49" s="21" t="n">
        <v>3401.69</v>
      </c>
      <c r="K49" s="21" t="n"/>
      <c r="L49" s="21" t="n">
        <v>3401.69</v>
      </c>
      <c r="M49" s="21" t="n">
        <v>3401.69</v>
      </c>
      <c r="N49" s="22" t="n">
        <v>3</v>
      </c>
      <c r="O49" s="22" t="n">
        <v>81</v>
      </c>
      <c r="P49" s="20" t="inlineStr">
        <is>
          <t>In bank and GL; no AR subledger application found. Pending analyst review.</t>
        </is>
      </c>
      <c r="Q49" s="23" t="n"/>
      <c r="R49" s="23" t="n"/>
    </row>
    <row r="50">
      <c r="A50" s="20" t="inlineStr">
        <is>
          <t>E0049</t>
        </is>
      </c>
      <c r="B50" s="20" t="inlineStr">
        <is>
          <t>AR application only</t>
        </is>
      </c>
      <c r="C50" s="20" t="inlineStr">
        <is>
          <t>Medium</t>
        </is>
      </c>
      <c r="D50" s="20" t="inlineStr">
        <is>
          <t>SL</t>
        </is>
      </c>
      <c r="E50" s="20" t="inlineStr">
        <is>
          <t>10595</t>
        </is>
      </c>
      <c r="F50" s="20" t="inlineStr">
        <is>
          <t>C056</t>
        </is>
      </c>
      <c r="G50" s="20" t="n"/>
      <c r="H50" s="20" t="inlineStr">
        <is>
          <t>S000231</t>
        </is>
      </c>
      <c r="I50" s="20" t="n"/>
      <c r="J50" s="21" t="n"/>
      <c r="K50" s="21" t="n">
        <v>3309.03</v>
      </c>
      <c r="L50" s="21" t="n"/>
      <c r="M50" s="21" t="n">
        <v>3309.03</v>
      </c>
      <c r="N50" s="22" t="n">
        <v>0</v>
      </c>
      <c r="O50" s="22" t="n">
        <v>76</v>
      </c>
      <c r="P50" s="20" t="inlineStr">
        <is>
          <t>AR application with no matching bank credit or GL entry. Pending analyst review.</t>
        </is>
      </c>
      <c r="Q50" s="23" t="n"/>
      <c r="R50" s="23" t="n"/>
    </row>
    <row r="51">
      <c r="A51" s="20" t="inlineStr">
        <is>
          <t>E0050</t>
        </is>
      </c>
      <c r="B51" s="20" t="inlineStr">
        <is>
          <t>Missing in GL</t>
        </is>
      </c>
      <c r="C51" s="20" t="inlineStr">
        <is>
          <t>Medium</t>
        </is>
      </c>
      <c r="D51" s="20" t="inlineStr">
        <is>
          <t>BANK + SL</t>
        </is>
      </c>
      <c r="E51" s="20" t="inlineStr">
        <is>
          <t>10779</t>
        </is>
      </c>
      <c r="F51" s="20" t="inlineStr">
        <is>
          <t>C006</t>
        </is>
      </c>
      <c r="G51" s="20" t="inlineStr">
        <is>
          <t>B000582</t>
        </is>
      </c>
      <c r="H51" s="20" t="inlineStr">
        <is>
          <t>S000571</t>
        </is>
      </c>
      <c r="I51" s="20" t="n"/>
      <c r="J51" s="21" t="n">
        <v>3242.12</v>
      </c>
      <c r="K51" s="21" t="n">
        <v>3242.12</v>
      </c>
      <c r="L51" s="21" t="n"/>
      <c r="M51" s="21" t="n">
        <v>3242.12</v>
      </c>
      <c r="N51" s="22" t="n">
        <v>0</v>
      </c>
      <c r="O51" s="22" t="n">
        <v>55</v>
      </c>
      <c r="P51" s="20" t="inlineStr">
        <is>
          <t>In bank and AR subledger; no GL entry within tolerance. Pending analyst review.</t>
        </is>
      </c>
      <c r="Q51" s="23" t="n"/>
      <c r="R51" s="23" t="n"/>
    </row>
    <row r="52">
      <c r="A52" s="20" t="inlineStr">
        <is>
          <t>E0051</t>
        </is>
      </c>
      <c r="B52" s="20" t="inlineStr">
        <is>
          <t>Bank credit only</t>
        </is>
      </c>
      <c r="C52" s="20" t="inlineStr">
        <is>
          <t>Medium</t>
        </is>
      </c>
      <c r="D52" s="20" t="inlineStr">
        <is>
          <t>BANK</t>
        </is>
      </c>
      <c r="E52" s="20" t="inlineStr">
        <is>
          <t>10469</t>
        </is>
      </c>
      <c r="F52" s="20" t="n"/>
      <c r="G52" s="20" t="inlineStr">
        <is>
          <t>B000602</t>
        </is>
      </c>
      <c r="H52" s="20" t="n"/>
      <c r="I52" s="20" t="n"/>
      <c r="J52" s="21" t="n">
        <v>3239.53</v>
      </c>
      <c r="K52" s="21" t="n"/>
      <c r="L52" s="21" t="n"/>
      <c r="M52" s="21" t="n">
        <v>3239.53</v>
      </c>
      <c r="N52" s="22" t="n">
        <v>0</v>
      </c>
      <c r="O52" s="22" t="n">
        <v>54</v>
      </c>
      <c r="P52" s="20" t="inlineStr">
        <is>
          <t>Bank credit with no matching AR or GL record. Pending analyst review.</t>
        </is>
      </c>
      <c r="Q52" s="23" t="n"/>
      <c r="R52" s="23" t="n"/>
    </row>
    <row r="53">
      <c r="A53" s="20" t="inlineStr">
        <is>
          <t>E0052</t>
        </is>
      </c>
      <c r="B53" s="20" t="inlineStr">
        <is>
          <t>Missing in GL</t>
        </is>
      </c>
      <c r="C53" s="20" t="inlineStr">
        <is>
          <t>Medium</t>
        </is>
      </c>
      <c r="D53" s="20" t="inlineStr">
        <is>
          <t>BANK + SL</t>
        </is>
      </c>
      <c r="E53" s="20" t="inlineStr">
        <is>
          <t>10213</t>
        </is>
      </c>
      <c r="F53" s="20" t="inlineStr">
        <is>
          <t>C010</t>
        </is>
      </c>
      <c r="G53" s="20" t="inlineStr">
        <is>
          <t>B000719</t>
        </is>
      </c>
      <c r="H53" s="20" t="inlineStr">
        <is>
          <t>S000757</t>
        </is>
      </c>
      <c r="I53" s="20" t="n"/>
      <c r="J53" s="21" t="n">
        <v>3234.9</v>
      </c>
      <c r="K53" s="21" t="n">
        <v>3234.9</v>
      </c>
      <c r="L53" s="21" t="n"/>
      <c r="M53" s="21" t="n">
        <v>3234.9</v>
      </c>
      <c r="N53" s="22" t="n">
        <v>2</v>
      </c>
      <c r="O53" s="22" t="n">
        <v>49</v>
      </c>
      <c r="P53" s="20" t="inlineStr">
        <is>
          <t>In bank and AR subledger; no GL entry within tolerance. Pending analyst review.</t>
        </is>
      </c>
      <c r="Q53" s="23" t="n"/>
      <c r="R53" s="23" t="n"/>
    </row>
    <row r="54">
      <c r="A54" s="20" t="inlineStr">
        <is>
          <t>E0053</t>
        </is>
      </c>
      <c r="B54" s="20" t="inlineStr">
        <is>
          <t>Missing in GL</t>
        </is>
      </c>
      <c r="C54" s="20" t="inlineStr">
        <is>
          <t>Medium</t>
        </is>
      </c>
      <c r="D54" s="20" t="inlineStr">
        <is>
          <t>BANK + SL</t>
        </is>
      </c>
      <c r="E54" s="20" t="inlineStr">
        <is>
          <t>11304</t>
        </is>
      </c>
      <c r="F54" s="20" t="inlineStr">
        <is>
          <t>C018</t>
        </is>
      </c>
      <c r="G54" s="20" t="inlineStr">
        <is>
          <t>B000209</t>
        </is>
      </c>
      <c r="H54" s="20" t="inlineStr">
        <is>
          <t>S000187</t>
        </is>
      </c>
      <c r="I54" s="20" t="n"/>
      <c r="J54" s="21" t="n">
        <v>2928.67</v>
      </c>
      <c r="K54" s="21" t="n">
        <v>2928.67</v>
      </c>
      <c r="L54" s="21" t="n"/>
      <c r="M54" s="21" t="n">
        <v>2928.67</v>
      </c>
      <c r="N54" s="22" t="n">
        <v>0</v>
      </c>
      <c r="O54" s="22" t="n">
        <v>77</v>
      </c>
      <c r="P54" s="20" t="inlineStr">
        <is>
          <t>In bank and AR subledger; no GL entry within tolerance. Pending analyst review.</t>
        </is>
      </c>
      <c r="Q54" s="23" t="n"/>
      <c r="R54" s="23" t="n"/>
    </row>
    <row r="55">
      <c r="A55" s="20" t="inlineStr">
        <is>
          <t>E0054</t>
        </is>
      </c>
      <c r="B55" s="20" t="inlineStr">
        <is>
          <t>Amount mismatch</t>
        </is>
      </c>
      <c r="C55" s="20" t="inlineStr">
        <is>
          <t>Medium</t>
        </is>
      </c>
      <c r="D55" s="20" t="inlineStr">
        <is>
          <t>BANK + SL + GL</t>
        </is>
      </c>
      <c r="E55" s="20" t="inlineStr">
        <is>
          <t>10660</t>
        </is>
      </c>
      <c r="F55" s="20" t="inlineStr">
        <is>
          <t>C042</t>
        </is>
      </c>
      <c r="G55" s="20" t="inlineStr">
        <is>
          <t>B001036</t>
        </is>
      </c>
      <c r="H55" s="20" t="inlineStr">
        <is>
          <t>S001027</t>
        </is>
      </c>
      <c r="I55" s="20" t="inlineStr">
        <is>
          <t>G001028</t>
        </is>
      </c>
      <c r="J55" s="21" t="n">
        <v>4151.93</v>
      </c>
      <c r="K55" s="21" t="n">
        <v>1451.93</v>
      </c>
      <c r="L55" s="21" t="n">
        <v>4151.93</v>
      </c>
      <c r="M55" s="21" t="n">
        <v>2700</v>
      </c>
      <c r="N55" s="22" t="n">
        <v>0</v>
      </c>
      <c r="O55" s="22" t="n">
        <v>31</v>
      </c>
      <c r="P55" s="20" t="inlineStr">
        <is>
          <t>Reference ties across all three systems but amounts differ by $2700.00 (tolerance $1.00). Pending analyst review.</t>
        </is>
      </c>
      <c r="Q55" s="23" t="n"/>
      <c r="R55" s="23" t="n"/>
    </row>
    <row r="56">
      <c r="A56" s="20" t="inlineStr">
        <is>
          <t>E0055</t>
        </is>
      </c>
      <c r="B56" s="20" t="inlineStr">
        <is>
          <t>Missing in bank</t>
        </is>
      </c>
      <c r="C56" s="20" t="inlineStr">
        <is>
          <t>Medium</t>
        </is>
      </c>
      <c r="D56" s="20" t="inlineStr">
        <is>
          <t>SL + GL</t>
        </is>
      </c>
      <c r="E56" s="20" t="inlineStr">
        <is>
          <t>10009</t>
        </is>
      </c>
      <c r="F56" s="20" t="inlineStr">
        <is>
          <t>C013</t>
        </is>
      </c>
      <c r="G56" s="20" t="n"/>
      <c r="H56" s="20" t="inlineStr">
        <is>
          <t>S000817</t>
        </is>
      </c>
      <c r="I56" s="20" t="inlineStr">
        <is>
          <t>G000824</t>
        </is>
      </c>
      <c r="J56" s="21" t="n"/>
      <c r="K56" s="21" t="n">
        <v>2695.18</v>
      </c>
      <c r="L56" s="21" t="n">
        <v>2695.18</v>
      </c>
      <c r="M56" s="21" t="n">
        <v>2695.18</v>
      </c>
      <c r="N56" s="22" t="n">
        <v>1</v>
      </c>
      <c r="O56" s="22" t="n">
        <v>43</v>
      </c>
      <c r="P56" s="20" t="inlineStr">
        <is>
          <t>In AR subledger and GL; no matching bank credit found. Pending analyst review.</t>
        </is>
      </c>
      <c r="Q56" s="23" t="n"/>
      <c r="R56" s="23" t="n"/>
    </row>
    <row r="57">
      <c r="A57" s="20" t="inlineStr">
        <is>
          <t>E0056</t>
        </is>
      </c>
      <c r="B57" s="20" t="inlineStr">
        <is>
          <t>Missing in GL</t>
        </is>
      </c>
      <c r="C57" s="20" t="inlineStr">
        <is>
          <t>Medium</t>
        </is>
      </c>
      <c r="D57" s="20" t="inlineStr">
        <is>
          <t>BANK + SL</t>
        </is>
      </c>
      <c r="E57" s="20" t="inlineStr">
        <is>
          <t>11486</t>
        </is>
      </c>
      <c r="F57" s="20" t="inlineStr">
        <is>
          <t>C010</t>
        </is>
      </c>
      <c r="G57" s="20" t="inlineStr">
        <is>
          <t>B001254</t>
        </is>
      </c>
      <c r="H57" s="20" t="inlineStr">
        <is>
          <t>S001263</t>
        </is>
      </c>
      <c r="I57" s="20" t="n"/>
      <c r="J57" s="21" t="n">
        <v>2629.84</v>
      </c>
      <c r="K57" s="21" t="n">
        <v>2629.84</v>
      </c>
      <c r="L57" s="21" t="n"/>
      <c r="M57" s="21" t="n">
        <v>2629.84</v>
      </c>
      <c r="N57" s="22" t="n">
        <v>0</v>
      </c>
      <c r="O57" s="22" t="n">
        <v>20</v>
      </c>
      <c r="P57" s="20" t="inlineStr">
        <is>
          <t>In bank and AR subledger; no GL entry within tolerance. Pending analyst review.</t>
        </is>
      </c>
      <c r="Q57" s="23" t="n"/>
      <c r="R57" s="23" t="n"/>
    </row>
    <row r="58">
      <c r="A58" s="20" t="inlineStr">
        <is>
          <t>E0057</t>
        </is>
      </c>
      <c r="B58" s="20" t="inlineStr">
        <is>
          <t>AR application only</t>
        </is>
      </c>
      <c r="C58" s="20" t="inlineStr">
        <is>
          <t>Medium</t>
        </is>
      </c>
      <c r="D58" s="20" t="inlineStr">
        <is>
          <t>SL</t>
        </is>
      </c>
      <c r="E58" s="20" t="inlineStr">
        <is>
          <t>11234</t>
        </is>
      </c>
      <c r="F58" s="20" t="inlineStr">
        <is>
          <t>C040</t>
        </is>
      </c>
      <c r="G58" s="20" t="n"/>
      <c r="H58" s="20" t="inlineStr">
        <is>
          <t>S000578</t>
        </is>
      </c>
      <c r="I58" s="20" t="n"/>
      <c r="J58" s="21" t="n"/>
      <c r="K58" s="21" t="n">
        <v>2552.72</v>
      </c>
      <c r="L58" s="21" t="n"/>
      <c r="M58" s="21" t="n">
        <v>2552.72</v>
      </c>
      <c r="N58" s="22" t="n">
        <v>0</v>
      </c>
      <c r="O58" s="22" t="n">
        <v>55</v>
      </c>
      <c r="P58" s="20" t="inlineStr">
        <is>
          <t>AR application with no matching bank credit or GL entry. Pending analyst review.</t>
        </is>
      </c>
      <c r="Q58" s="23" t="n"/>
      <c r="R58" s="23" t="n"/>
    </row>
    <row r="59">
      <c r="A59" s="20" t="inlineStr">
        <is>
          <t>E0058</t>
        </is>
      </c>
      <c r="B59" s="20" t="inlineStr">
        <is>
          <t>Missing in bank</t>
        </is>
      </c>
      <c r="C59" s="20" t="inlineStr">
        <is>
          <t>Medium</t>
        </is>
      </c>
      <c r="D59" s="20" t="inlineStr">
        <is>
          <t>SL + GL</t>
        </is>
      </c>
      <c r="E59" s="20" t="inlineStr">
        <is>
          <t>10308</t>
        </is>
      </c>
      <c r="F59" s="20" t="inlineStr">
        <is>
          <t>C037</t>
        </is>
      </c>
      <c r="G59" s="20" t="n"/>
      <c r="H59" s="20" t="inlineStr">
        <is>
          <t>S001398</t>
        </is>
      </c>
      <c r="I59" s="20" t="inlineStr">
        <is>
          <t>G001429</t>
        </is>
      </c>
      <c r="J59" s="21" t="n"/>
      <c r="K59" s="21" t="n">
        <v>2546.16</v>
      </c>
      <c r="L59" s="21" t="n">
        <v>2546.16</v>
      </c>
      <c r="M59" s="21" t="n">
        <v>2546.16</v>
      </c>
      <c r="N59" s="22" t="n">
        <v>3</v>
      </c>
      <c r="O59" s="22" t="n">
        <v>12</v>
      </c>
      <c r="P59" s="20" t="inlineStr">
        <is>
          <t>In AR subledger and GL; no matching bank credit found. Pending analyst review.</t>
        </is>
      </c>
      <c r="Q59" s="23" t="n"/>
      <c r="R59" s="23" t="n"/>
    </row>
    <row r="60">
      <c r="A60" s="20" t="inlineStr">
        <is>
          <t>E0059</t>
        </is>
      </c>
      <c r="B60" s="20" t="inlineStr">
        <is>
          <t>Missing in AR</t>
        </is>
      </c>
      <c r="C60" s="20" t="inlineStr">
        <is>
          <t>Medium</t>
        </is>
      </c>
      <c r="D60" s="20" t="inlineStr">
        <is>
          <t>BANK + GL</t>
        </is>
      </c>
      <c r="E60" s="20" t="inlineStr">
        <is>
          <t>11056</t>
        </is>
      </c>
      <c r="F60" s="20" t="n"/>
      <c r="G60" s="20" t="inlineStr">
        <is>
          <t>B000857</t>
        </is>
      </c>
      <c r="H60" s="20" t="n"/>
      <c r="I60" s="20" t="inlineStr">
        <is>
          <t>G000843</t>
        </is>
      </c>
      <c r="J60" s="21" t="n">
        <v>2535.31</v>
      </c>
      <c r="K60" s="21" t="n"/>
      <c r="L60" s="21" t="n">
        <v>2535.31</v>
      </c>
      <c r="M60" s="21" t="n">
        <v>2535.31</v>
      </c>
      <c r="N60" s="22" t="n">
        <v>2</v>
      </c>
      <c r="O60" s="22" t="n">
        <v>42</v>
      </c>
      <c r="P60" s="20" t="inlineStr">
        <is>
          <t>In bank and GL; no AR subledger application found. Pending analyst review.</t>
        </is>
      </c>
      <c r="Q60" s="23" t="n"/>
      <c r="R60" s="23" t="n"/>
    </row>
    <row r="61">
      <c r="A61" s="20" t="inlineStr">
        <is>
          <t>E0060</t>
        </is>
      </c>
      <c r="B61" s="20" t="inlineStr">
        <is>
          <t>Missing in GL</t>
        </is>
      </c>
      <c r="C61" s="20" t="inlineStr">
        <is>
          <t>Medium</t>
        </is>
      </c>
      <c r="D61" s="20" t="inlineStr">
        <is>
          <t>BANK + SL</t>
        </is>
      </c>
      <c r="E61" s="20" t="inlineStr">
        <is>
          <t>11411</t>
        </is>
      </c>
      <c r="F61" s="20" t="inlineStr">
        <is>
          <t>C038</t>
        </is>
      </c>
      <c r="G61" s="20" t="inlineStr">
        <is>
          <t>B001345</t>
        </is>
      </c>
      <c r="H61" s="20" t="inlineStr">
        <is>
          <t>S001393</t>
        </is>
      </c>
      <c r="I61" s="20" t="n"/>
      <c r="J61" s="21" t="n">
        <v>2528.8</v>
      </c>
      <c r="K61" s="21" t="n">
        <v>2528.8</v>
      </c>
      <c r="L61" s="21" t="n"/>
      <c r="M61" s="21" t="n">
        <v>2528.8</v>
      </c>
      <c r="N61" s="22" t="n">
        <v>3</v>
      </c>
      <c r="O61" s="22" t="n">
        <v>15</v>
      </c>
      <c r="P61" s="20" t="inlineStr">
        <is>
          <t>In bank and AR subledger; no GL entry within tolerance. Pending analyst review.</t>
        </is>
      </c>
      <c r="Q61" s="23" t="n"/>
      <c r="R61" s="23" t="n"/>
    </row>
    <row r="62">
      <c r="A62" s="20" t="inlineStr">
        <is>
          <t>E0061</t>
        </is>
      </c>
      <c r="B62" s="20" t="inlineStr">
        <is>
          <t>Bank credit only</t>
        </is>
      </c>
      <c r="C62" s="20" t="inlineStr">
        <is>
          <t>Medium</t>
        </is>
      </c>
      <c r="D62" s="20" t="inlineStr">
        <is>
          <t>BANK</t>
        </is>
      </c>
      <c r="E62" s="20" t="inlineStr">
        <is>
          <t>11043</t>
        </is>
      </c>
      <c r="F62" s="20" t="n"/>
      <c r="G62" s="20" t="inlineStr">
        <is>
          <t>B001458</t>
        </is>
      </c>
      <c r="H62" s="20" t="n"/>
      <c r="I62" s="20" t="n"/>
      <c r="J62" s="21" t="n">
        <v>2500</v>
      </c>
      <c r="K62" s="21" t="n"/>
      <c r="L62" s="21" t="n"/>
      <c r="M62" s="21" t="n">
        <v>2500</v>
      </c>
      <c r="N62" s="22" t="n">
        <v>0</v>
      </c>
      <c r="O62" s="22" t="n">
        <v>9</v>
      </c>
      <c r="P62" s="20" t="inlineStr">
        <is>
          <t>Bank credit with no matching AR or GL record. Pending analyst review.</t>
        </is>
      </c>
      <c r="Q62" s="23" t="n"/>
      <c r="R62" s="23" t="n"/>
    </row>
    <row r="63">
      <c r="A63" s="20" t="inlineStr">
        <is>
          <t>E0062</t>
        </is>
      </c>
      <c r="B63" s="20" t="inlineStr">
        <is>
          <t>Missing in AR</t>
        </is>
      </c>
      <c r="C63" s="20" t="inlineStr">
        <is>
          <t>Medium</t>
        </is>
      </c>
      <c r="D63" s="20" t="inlineStr">
        <is>
          <t>BANK + GL</t>
        </is>
      </c>
      <c r="E63" s="20" t="inlineStr">
        <is>
          <t>10659</t>
        </is>
      </c>
      <c r="F63" s="20" t="n"/>
      <c r="G63" s="20" t="inlineStr">
        <is>
          <t>B001228</t>
        </is>
      </c>
      <c r="H63" s="20" t="n"/>
      <c r="I63" s="20" t="inlineStr">
        <is>
          <t>G001207</t>
        </is>
      </c>
      <c r="J63" s="21" t="n">
        <v>2500</v>
      </c>
      <c r="K63" s="21" t="n"/>
      <c r="L63" s="21" t="n">
        <v>2500</v>
      </c>
      <c r="M63" s="21" t="n">
        <v>2500</v>
      </c>
      <c r="N63" s="22" t="n">
        <v>1</v>
      </c>
      <c r="O63" s="22" t="n">
        <v>22</v>
      </c>
      <c r="P63" s="20" t="inlineStr">
        <is>
          <t>In bank and GL; no AR subledger application found. Pending analyst review.</t>
        </is>
      </c>
      <c r="Q63" s="23" t="n"/>
      <c r="R63" s="23" t="n"/>
    </row>
    <row r="64">
      <c r="A64" s="20" t="inlineStr">
        <is>
          <t>E0063</t>
        </is>
      </c>
      <c r="B64" s="20" t="inlineStr">
        <is>
          <t>Timing gap</t>
        </is>
      </c>
      <c r="C64" s="20" t="inlineStr">
        <is>
          <t>Medium</t>
        </is>
      </c>
      <c r="D64" s="20" t="inlineStr">
        <is>
          <t>BANK + SL + GL</t>
        </is>
      </c>
      <c r="E64" s="20" t="inlineStr">
        <is>
          <t>11095</t>
        </is>
      </c>
      <c r="F64" s="20" t="inlineStr">
        <is>
          <t>C033</t>
        </is>
      </c>
      <c r="G64" s="20" t="inlineStr">
        <is>
          <t>B000279</t>
        </is>
      </c>
      <c r="H64" s="20" t="inlineStr">
        <is>
          <t>S000292</t>
        </is>
      </c>
      <c r="I64" s="20" t="inlineStr">
        <is>
          <t>G000476</t>
        </is>
      </c>
      <c r="J64" s="21" t="n">
        <v>2480.93</v>
      </c>
      <c r="K64" s="21" t="n">
        <v>2480.93</v>
      </c>
      <c r="L64" s="21" t="n">
        <v>2480.93</v>
      </c>
      <c r="M64" s="21" t="n">
        <v>2480.93</v>
      </c>
      <c r="N64" s="22" t="n">
        <v>14</v>
      </c>
      <c r="O64" s="22" t="n">
        <v>74</v>
      </c>
      <c r="P64" s="20" t="inlineStr">
        <is>
          <t>Ties across all three systems but dates span 14 days (tolerance 7). Pending analyst review.</t>
        </is>
      </c>
      <c r="Q64" s="23" t="n"/>
      <c r="R64" s="23" t="n"/>
    </row>
    <row r="65">
      <c r="A65" s="20" t="inlineStr">
        <is>
          <t>E0064</t>
        </is>
      </c>
      <c r="B65" s="20" t="inlineStr">
        <is>
          <t>Timing gap</t>
        </is>
      </c>
      <c r="C65" s="20" t="inlineStr">
        <is>
          <t>Medium</t>
        </is>
      </c>
      <c r="D65" s="20" t="inlineStr">
        <is>
          <t>BANK + SL + GL</t>
        </is>
      </c>
      <c r="E65" s="20" t="inlineStr">
        <is>
          <t>11159</t>
        </is>
      </c>
      <c r="F65" s="20" t="inlineStr">
        <is>
          <t>C003</t>
        </is>
      </c>
      <c r="G65" s="20" t="inlineStr">
        <is>
          <t>B000329</t>
        </is>
      </c>
      <c r="H65" s="20" t="inlineStr">
        <is>
          <t>S000336</t>
        </is>
      </c>
      <c r="I65" s="20" t="inlineStr">
        <is>
          <t>G000484</t>
        </is>
      </c>
      <c r="J65" s="21" t="n">
        <v>2443.93</v>
      </c>
      <c r="K65" s="21" t="n">
        <v>2444.43</v>
      </c>
      <c r="L65" s="21" t="n">
        <v>2444.43</v>
      </c>
      <c r="M65" s="21" t="n">
        <v>2444.43</v>
      </c>
      <c r="N65" s="22" t="n">
        <v>10</v>
      </c>
      <c r="O65" s="22" t="n">
        <v>70</v>
      </c>
      <c r="P65" s="20" t="inlineStr">
        <is>
          <t>Ties across all three systems but dates span 10 days (tolerance 7). Pending analyst review.</t>
        </is>
      </c>
      <c r="Q65" s="23" t="n"/>
      <c r="R65" s="23" t="n"/>
    </row>
    <row r="66">
      <c r="A66" s="20" t="inlineStr">
        <is>
          <t>E0065</t>
        </is>
      </c>
      <c r="B66" s="20" t="inlineStr">
        <is>
          <t>Duplicate posting</t>
        </is>
      </c>
      <c r="C66" s="20" t="inlineStr">
        <is>
          <t>Medium</t>
        </is>
      </c>
      <c r="D66" s="20" t="inlineStr">
        <is>
          <t>GL</t>
        </is>
      </c>
      <c r="E66" s="20" t="inlineStr">
        <is>
          <t>11471</t>
        </is>
      </c>
      <c r="F66" s="20" t="n"/>
      <c r="G66" s="20" t="n"/>
      <c r="H66" s="20" t="n"/>
      <c r="I66" s="20" t="inlineStr">
        <is>
          <t>G000286</t>
        </is>
      </c>
      <c r="J66" s="21" t="n"/>
      <c r="K66" s="21" t="n"/>
      <c r="L66" s="21" t="n">
        <v>2423.06</v>
      </c>
      <c r="M66" s="21" t="n">
        <v>2423.06</v>
      </c>
      <c r="N66" s="22" t="n">
        <v>1</v>
      </c>
      <c r="O66" s="22" t="n">
        <v>71</v>
      </c>
      <c r="P66" s="20" t="inlineStr">
        <is>
          <t>Same reference and amount already posted once in GL (G000258). Pending analyst review.</t>
        </is>
      </c>
      <c r="Q66" s="23" t="n"/>
      <c r="R66" s="23" t="n"/>
    </row>
    <row r="67">
      <c r="A67" s="20" t="inlineStr">
        <is>
          <t>E0066</t>
        </is>
      </c>
      <c r="B67" s="20" t="inlineStr">
        <is>
          <t>Timing gap</t>
        </is>
      </c>
      <c r="C67" s="20" t="inlineStr">
        <is>
          <t>Medium</t>
        </is>
      </c>
      <c r="D67" s="20" t="inlineStr">
        <is>
          <t>BANK + SL + GL</t>
        </is>
      </c>
      <c r="E67" s="20" t="inlineStr">
        <is>
          <t>11045</t>
        </is>
      </c>
      <c r="F67" s="20" t="inlineStr">
        <is>
          <t>C047</t>
        </is>
      </c>
      <c r="G67" s="20" t="inlineStr">
        <is>
          <t>B000194</t>
        </is>
      </c>
      <c r="H67" s="20" t="inlineStr">
        <is>
          <t>S000172</t>
        </is>
      </c>
      <c r="I67" s="20" t="inlineStr">
        <is>
          <t>G000420</t>
        </is>
      </c>
      <c r="J67" s="21" t="n">
        <v>2390.65</v>
      </c>
      <c r="K67" s="21" t="n">
        <v>2390.65</v>
      </c>
      <c r="L67" s="21" t="n">
        <v>2390.65</v>
      </c>
      <c r="M67" s="21" t="n">
        <v>2390.65</v>
      </c>
      <c r="N67" s="22" t="n">
        <v>15</v>
      </c>
      <c r="O67" s="22" t="n">
        <v>78</v>
      </c>
      <c r="P67" s="20" t="inlineStr">
        <is>
          <t>Ties across all three systems but dates span 15 days (tolerance 7). Pending analyst review.</t>
        </is>
      </c>
      <c r="Q67" s="23" t="n"/>
      <c r="R67" s="23" t="n"/>
    </row>
    <row r="68">
      <c r="A68" s="20" t="inlineStr">
        <is>
          <t>E0067</t>
        </is>
      </c>
      <c r="B68" s="20" t="inlineStr">
        <is>
          <t>Missing in bank</t>
        </is>
      </c>
      <c r="C68" s="20" t="inlineStr">
        <is>
          <t>Medium</t>
        </is>
      </c>
      <c r="D68" s="20" t="inlineStr">
        <is>
          <t>SL + GL</t>
        </is>
      </c>
      <c r="E68" s="20" t="inlineStr">
        <is>
          <t>10972</t>
        </is>
      </c>
      <c r="F68" s="20" t="inlineStr">
        <is>
          <t>C009</t>
        </is>
      </c>
      <c r="G68" s="20" t="n"/>
      <c r="H68" s="20" t="inlineStr">
        <is>
          <t>S000205</t>
        </is>
      </c>
      <c r="I68" s="20" t="inlineStr">
        <is>
          <t>G000185</t>
        </is>
      </c>
      <c r="J68" s="21" t="n"/>
      <c r="K68" s="21" t="n">
        <v>2305.17</v>
      </c>
      <c r="L68" s="21" t="n">
        <v>2305.17</v>
      </c>
      <c r="M68" s="21" t="n">
        <v>2305.17</v>
      </c>
      <c r="N68" s="22" t="n">
        <v>0</v>
      </c>
      <c r="O68" s="22" t="n">
        <v>77</v>
      </c>
      <c r="P68" s="20" t="inlineStr">
        <is>
          <t>In AR subledger and GL; no matching bank credit found. Pending analyst review.</t>
        </is>
      </c>
      <c r="Q68" s="23" t="n"/>
      <c r="R68" s="23" t="n"/>
    </row>
    <row r="69">
      <c r="A69" s="20" t="inlineStr">
        <is>
          <t>E0068</t>
        </is>
      </c>
      <c r="B69" s="20" t="inlineStr">
        <is>
          <t>Missing in bank</t>
        </is>
      </c>
      <c r="C69" s="20" t="inlineStr">
        <is>
          <t>Medium</t>
        </is>
      </c>
      <c r="D69" s="20" t="inlineStr">
        <is>
          <t>SL + GL</t>
        </is>
      </c>
      <c r="E69" s="20" t="inlineStr">
        <is>
          <t>10537</t>
        </is>
      </c>
      <c r="F69" s="20" t="inlineStr">
        <is>
          <t>C030</t>
        </is>
      </c>
      <c r="G69" s="20" t="n"/>
      <c r="H69" s="20" t="inlineStr">
        <is>
          <t>S000731</t>
        </is>
      </c>
      <c r="I69" s="20" t="inlineStr">
        <is>
          <t>G000714</t>
        </is>
      </c>
      <c r="J69" s="21" t="n"/>
      <c r="K69" s="21" t="n">
        <v>2286.64</v>
      </c>
      <c r="L69" s="21" t="n">
        <v>2286.64</v>
      </c>
      <c r="M69" s="21" t="n">
        <v>2286.64</v>
      </c>
      <c r="N69" s="22" t="n">
        <v>0</v>
      </c>
      <c r="O69" s="22" t="n">
        <v>47</v>
      </c>
      <c r="P69" s="20" t="inlineStr">
        <is>
          <t>In AR subledger and GL; no matching bank credit found. Pending analyst review.</t>
        </is>
      </c>
      <c r="Q69" s="23" t="n"/>
      <c r="R69" s="23" t="n"/>
    </row>
    <row r="70">
      <c r="A70" s="20" t="inlineStr">
        <is>
          <t>E0069</t>
        </is>
      </c>
      <c r="B70" s="20" t="inlineStr">
        <is>
          <t>Missing in bank</t>
        </is>
      </c>
      <c r="C70" s="20" t="inlineStr">
        <is>
          <t>Medium</t>
        </is>
      </c>
      <c r="D70" s="20" t="inlineStr">
        <is>
          <t>SL + GL</t>
        </is>
      </c>
      <c r="E70" s="20" t="inlineStr">
        <is>
          <t>10219</t>
        </is>
      </c>
      <c r="F70" s="20" t="inlineStr">
        <is>
          <t>C035</t>
        </is>
      </c>
      <c r="G70" s="20" t="n"/>
      <c r="H70" s="20" t="inlineStr">
        <is>
          <t>S001115</t>
        </is>
      </c>
      <c r="I70" s="20" t="inlineStr">
        <is>
          <t>G001094</t>
        </is>
      </c>
      <c r="J70" s="21" t="n"/>
      <c r="K70" s="21" t="n">
        <v>2273.76</v>
      </c>
      <c r="L70" s="21" t="n">
        <v>2273.76</v>
      </c>
      <c r="M70" s="21" t="n">
        <v>2273.76</v>
      </c>
      <c r="N70" s="22" t="n">
        <v>1</v>
      </c>
      <c r="O70" s="22" t="n">
        <v>27</v>
      </c>
      <c r="P70" s="20" t="inlineStr">
        <is>
          <t>In AR subledger and GL; no matching bank credit found. Pending analyst review.</t>
        </is>
      </c>
      <c r="Q70" s="23" t="n"/>
      <c r="R70" s="23" t="n"/>
    </row>
    <row r="71">
      <c r="A71" s="20" t="inlineStr">
        <is>
          <t>E0070</t>
        </is>
      </c>
      <c r="B71" s="20" t="inlineStr">
        <is>
          <t>Timing gap</t>
        </is>
      </c>
      <c r="C71" s="20" t="inlineStr">
        <is>
          <t>Medium</t>
        </is>
      </c>
      <c r="D71" s="20" t="inlineStr">
        <is>
          <t>BANK + SL + GL</t>
        </is>
      </c>
      <c r="E71" s="20" t="inlineStr">
        <is>
          <t>10869</t>
        </is>
      </c>
      <c r="F71" s="20" t="inlineStr">
        <is>
          <t>C056</t>
        </is>
      </c>
      <c r="G71" s="20" t="inlineStr">
        <is>
          <t>B000407</t>
        </is>
      </c>
      <c r="H71" s="20" t="inlineStr">
        <is>
          <t>S000392</t>
        </is>
      </c>
      <c r="I71" s="20" t="inlineStr">
        <is>
          <t>G000839</t>
        </is>
      </c>
      <c r="J71" s="21" t="n">
        <v>2243.5</v>
      </c>
      <c r="K71" s="21" t="n">
        <v>2243.5</v>
      </c>
      <c r="L71" s="21" t="n">
        <v>2243.5</v>
      </c>
      <c r="M71" s="21" t="n">
        <v>2243.5</v>
      </c>
      <c r="N71" s="22" t="n">
        <v>25</v>
      </c>
      <c r="O71" s="22" t="n">
        <v>66</v>
      </c>
      <c r="P71" s="20" t="inlineStr">
        <is>
          <t>Ties across all three systems but dates span 25 days (tolerance 7). Pending analyst review.</t>
        </is>
      </c>
      <c r="Q71" s="23" t="n"/>
      <c r="R71" s="23" t="n"/>
    </row>
    <row r="72">
      <c r="A72" s="20" t="inlineStr">
        <is>
          <t>E0071</t>
        </is>
      </c>
      <c r="B72" s="20" t="inlineStr">
        <is>
          <t>Duplicate posting</t>
        </is>
      </c>
      <c r="C72" s="20" t="inlineStr">
        <is>
          <t>Medium</t>
        </is>
      </c>
      <c r="D72" s="20" t="inlineStr">
        <is>
          <t>SL</t>
        </is>
      </c>
      <c r="E72" s="20" t="inlineStr">
        <is>
          <t>11092</t>
        </is>
      </c>
      <c r="F72" s="20" t="inlineStr">
        <is>
          <t>C016</t>
        </is>
      </c>
      <c r="G72" s="20" t="n"/>
      <c r="H72" s="20" t="inlineStr">
        <is>
          <t>S001094</t>
        </is>
      </c>
      <c r="I72" s="20" t="n"/>
      <c r="J72" s="21" t="n"/>
      <c r="K72" s="21" t="n">
        <v>2130.58</v>
      </c>
      <c r="L72" s="21" t="n"/>
      <c r="M72" s="21" t="n">
        <v>2130.58</v>
      </c>
      <c r="N72" s="22" t="n">
        <v>1</v>
      </c>
      <c r="O72" s="22" t="n">
        <v>28</v>
      </c>
      <c r="P72" s="20" t="inlineStr">
        <is>
          <t>Same reference and amount already posted once in SL (S001075). Pending analyst review.</t>
        </is>
      </c>
      <c r="Q72" s="23" t="n"/>
      <c r="R72" s="23" t="n"/>
    </row>
    <row r="73">
      <c r="A73" s="20" t="inlineStr">
        <is>
          <t>E0072</t>
        </is>
      </c>
      <c r="B73" s="20" t="inlineStr">
        <is>
          <t>Bank credit only</t>
        </is>
      </c>
      <c r="C73" s="20" t="inlineStr">
        <is>
          <t>Medium</t>
        </is>
      </c>
      <c r="D73" s="20" t="inlineStr">
        <is>
          <t>BANK</t>
        </is>
      </c>
      <c r="E73" s="20" t="inlineStr">
        <is>
          <t>11001</t>
        </is>
      </c>
      <c r="F73" s="20" t="n"/>
      <c r="G73" s="20" t="inlineStr">
        <is>
          <t>B001252</t>
        </is>
      </c>
      <c r="H73" s="20" t="n"/>
      <c r="I73" s="20" t="n"/>
      <c r="J73" s="21" t="n">
        <v>2121.28</v>
      </c>
      <c r="K73" s="21" t="n"/>
      <c r="L73" s="21" t="n"/>
      <c r="M73" s="21" t="n">
        <v>2121.28</v>
      </c>
      <c r="N73" s="22" t="n">
        <v>0</v>
      </c>
      <c r="O73" s="22" t="n">
        <v>21</v>
      </c>
      <c r="P73" s="20" t="inlineStr">
        <is>
          <t>Bank credit with no matching AR or GL record. Pending analyst review.</t>
        </is>
      </c>
      <c r="Q73" s="23" t="n"/>
      <c r="R73" s="23" t="n"/>
    </row>
    <row r="74">
      <c r="A74" s="20" t="inlineStr">
        <is>
          <t>E0073</t>
        </is>
      </c>
      <c r="B74" s="20" t="inlineStr">
        <is>
          <t>Missing in GL</t>
        </is>
      </c>
      <c r="C74" s="20" t="inlineStr">
        <is>
          <t>Medium</t>
        </is>
      </c>
      <c r="D74" s="20" t="inlineStr">
        <is>
          <t>BANK + SL</t>
        </is>
      </c>
      <c r="E74" s="20" t="inlineStr">
        <is>
          <t>10017</t>
        </is>
      </c>
      <c r="F74" s="20" t="inlineStr">
        <is>
          <t>C047</t>
        </is>
      </c>
      <c r="G74" s="20" t="inlineStr">
        <is>
          <t>B001030</t>
        </is>
      </c>
      <c r="H74" s="20" t="inlineStr">
        <is>
          <t>S001070</t>
        </is>
      </c>
      <c r="I74" s="20" t="n"/>
      <c r="J74" s="21" t="n">
        <v>2110.34</v>
      </c>
      <c r="K74" s="21" t="n">
        <v>2110.34</v>
      </c>
      <c r="L74" s="21" t="n"/>
      <c r="M74" s="21" t="n">
        <v>2110.34</v>
      </c>
      <c r="N74" s="22" t="n">
        <v>3</v>
      </c>
      <c r="O74" s="22" t="n">
        <v>32</v>
      </c>
      <c r="P74" s="20" t="inlineStr">
        <is>
          <t>In bank and AR subledger; no GL entry within tolerance. Pending analyst review.</t>
        </is>
      </c>
      <c r="Q74" s="23" t="n"/>
      <c r="R74" s="23" t="n"/>
    </row>
    <row r="75">
      <c r="A75" s="20" t="inlineStr">
        <is>
          <t>E0074</t>
        </is>
      </c>
      <c r="B75" s="20" t="inlineStr">
        <is>
          <t>Missing in GL</t>
        </is>
      </c>
      <c r="C75" s="20" t="inlineStr">
        <is>
          <t>Medium</t>
        </is>
      </c>
      <c r="D75" s="20" t="inlineStr">
        <is>
          <t>BANK + SL</t>
        </is>
      </c>
      <c r="E75" s="20" t="inlineStr">
        <is>
          <t>10133</t>
        </is>
      </c>
      <c r="F75" s="20" t="inlineStr">
        <is>
          <t>C035</t>
        </is>
      </c>
      <c r="G75" s="20" t="inlineStr">
        <is>
          <t>B001401</t>
        </is>
      </c>
      <c r="H75" s="20" t="inlineStr">
        <is>
          <t>S001433</t>
        </is>
      </c>
      <c r="I75" s="20" t="n"/>
      <c r="J75" s="21" t="n">
        <v>2039.04</v>
      </c>
      <c r="K75" s="21" t="n">
        <v>2039.04</v>
      </c>
      <c r="L75" s="21" t="n"/>
      <c r="M75" s="21" t="n">
        <v>2039.04</v>
      </c>
      <c r="N75" s="22" t="n">
        <v>2</v>
      </c>
      <c r="O75" s="22" t="n">
        <v>12</v>
      </c>
      <c r="P75" s="20" t="inlineStr">
        <is>
          <t>In bank and AR subledger; no GL entry within tolerance. Pending analyst review.</t>
        </is>
      </c>
      <c r="Q75" s="23" t="n"/>
      <c r="R75" s="23" t="n"/>
    </row>
    <row r="76">
      <c r="A76" s="20" t="inlineStr">
        <is>
          <t>E0075</t>
        </is>
      </c>
      <c r="B76" s="20" t="inlineStr">
        <is>
          <t>Duplicate posting</t>
        </is>
      </c>
      <c r="C76" s="20" t="inlineStr">
        <is>
          <t>Medium</t>
        </is>
      </c>
      <c r="D76" s="20" t="inlineStr">
        <is>
          <t>SL</t>
        </is>
      </c>
      <c r="E76" s="20" t="inlineStr">
        <is>
          <t>11156</t>
        </is>
      </c>
      <c r="F76" s="20" t="inlineStr">
        <is>
          <t>C021</t>
        </is>
      </c>
      <c r="G76" s="20" t="n"/>
      <c r="H76" s="20" t="inlineStr">
        <is>
          <t>S001353</t>
        </is>
      </c>
      <c r="I76" s="20" t="n"/>
      <c r="J76" s="21" t="n"/>
      <c r="K76" s="21" t="n">
        <v>2000</v>
      </c>
      <c r="L76" s="21" t="n"/>
      <c r="M76" s="21" t="n">
        <v>2000</v>
      </c>
      <c r="N76" s="22" t="n">
        <v>1</v>
      </c>
      <c r="O76" s="22" t="n">
        <v>14</v>
      </c>
      <c r="P76" s="20" t="inlineStr">
        <is>
          <t>Same reference and amount already posted once in SL (S001335). Pending analyst review.</t>
        </is>
      </c>
      <c r="Q76" s="23" t="n"/>
      <c r="R76" s="23" t="n"/>
    </row>
    <row r="77">
      <c r="A77" s="20" t="inlineStr">
        <is>
          <t>E0076</t>
        </is>
      </c>
      <c r="B77" s="20" t="inlineStr">
        <is>
          <t>GL entry only</t>
        </is>
      </c>
      <c r="C77" s="20" t="inlineStr">
        <is>
          <t>Medium</t>
        </is>
      </c>
      <c r="D77" s="20" t="inlineStr">
        <is>
          <t>GL</t>
        </is>
      </c>
      <c r="E77" s="20" t="inlineStr">
        <is>
          <t>10029</t>
        </is>
      </c>
      <c r="F77" s="20" t="n"/>
      <c r="G77" s="20" t="n"/>
      <c r="H77" s="20" t="n"/>
      <c r="I77" s="20" t="inlineStr">
        <is>
          <t>G001459</t>
        </is>
      </c>
      <c r="J77" s="21" t="n"/>
      <c r="K77" s="21" t="n"/>
      <c r="L77" s="21" t="n">
        <v>1951.41</v>
      </c>
      <c r="M77" s="21" t="n">
        <v>1951.41</v>
      </c>
      <c r="N77" s="22" t="n">
        <v>0</v>
      </c>
      <c r="O77" s="22" t="n">
        <v>7</v>
      </c>
      <c r="P77" s="20" t="inlineStr">
        <is>
          <t>GL entry with no matching bank credit or AR application. Pending analyst review.</t>
        </is>
      </c>
      <c r="Q77" s="23" t="n"/>
      <c r="R77" s="23" t="n"/>
    </row>
    <row r="78">
      <c r="A78" s="20" t="inlineStr">
        <is>
          <t>E0077</t>
        </is>
      </c>
      <c r="B78" s="20" t="inlineStr">
        <is>
          <t>Bank credit only</t>
        </is>
      </c>
      <c r="C78" s="20" t="inlineStr">
        <is>
          <t>Medium</t>
        </is>
      </c>
      <c r="D78" s="20" t="inlineStr">
        <is>
          <t>BANK</t>
        </is>
      </c>
      <c r="E78" s="20" t="inlineStr">
        <is>
          <t>10268</t>
        </is>
      </c>
      <c r="F78" s="20" t="n"/>
      <c r="G78" s="20" t="inlineStr">
        <is>
          <t>B000202</t>
        </is>
      </c>
      <c r="H78" s="20" t="n"/>
      <c r="I78" s="20" t="n"/>
      <c r="J78" s="21" t="n">
        <v>1930.57</v>
      </c>
      <c r="K78" s="21" t="n"/>
      <c r="L78" s="21" t="n"/>
      <c r="M78" s="21" t="n">
        <v>1930.57</v>
      </c>
      <c r="N78" s="22" t="n">
        <v>0</v>
      </c>
      <c r="O78" s="22" t="n">
        <v>78</v>
      </c>
      <c r="P78" s="20" t="inlineStr">
        <is>
          <t>Bank credit with no matching AR or GL record. Pending analyst review.</t>
        </is>
      </c>
      <c r="Q78" s="23" t="n"/>
      <c r="R78" s="23" t="n"/>
    </row>
    <row r="79">
      <c r="A79" s="20" t="inlineStr">
        <is>
          <t>E0078</t>
        </is>
      </c>
      <c r="B79" s="20" t="inlineStr">
        <is>
          <t>Timing gap</t>
        </is>
      </c>
      <c r="C79" s="20" t="inlineStr">
        <is>
          <t>Medium</t>
        </is>
      </c>
      <c r="D79" s="20" t="inlineStr">
        <is>
          <t>BANK + SL + GL</t>
        </is>
      </c>
      <c r="E79" s="20" t="inlineStr">
        <is>
          <t>11137</t>
        </is>
      </c>
      <c r="F79" s="20" t="inlineStr">
        <is>
          <t>C004</t>
        </is>
      </c>
      <c r="G79" s="20" t="inlineStr">
        <is>
          <t>B000498</t>
        </is>
      </c>
      <c r="H79" s="20" t="inlineStr">
        <is>
          <t>S000539</t>
        </is>
      </c>
      <c r="I79" s="20" t="inlineStr">
        <is>
          <t>G000771</t>
        </is>
      </c>
      <c r="J79" s="21" t="n">
        <v>1895.94</v>
      </c>
      <c r="K79" s="21" t="n">
        <v>1895.94</v>
      </c>
      <c r="L79" s="21" t="n">
        <v>1895.94</v>
      </c>
      <c r="M79" s="21" t="n">
        <v>1895.94</v>
      </c>
      <c r="N79" s="22" t="n">
        <v>17</v>
      </c>
      <c r="O79" s="22" t="n">
        <v>61</v>
      </c>
      <c r="P79" s="20" t="inlineStr">
        <is>
          <t>Ties across all three systems but dates span 17 days (tolerance 7). Pending analyst review.</t>
        </is>
      </c>
      <c r="Q79" s="23" t="n"/>
      <c r="R79" s="23" t="n"/>
    </row>
    <row r="80">
      <c r="A80" s="20" t="inlineStr">
        <is>
          <t>E0079</t>
        </is>
      </c>
      <c r="B80" s="20" t="inlineStr">
        <is>
          <t>Bank credit only</t>
        </is>
      </c>
      <c r="C80" s="20" t="inlineStr">
        <is>
          <t>Medium</t>
        </is>
      </c>
      <c r="D80" s="20" t="inlineStr">
        <is>
          <t>BANK</t>
        </is>
      </c>
      <c r="E80" s="20" t="inlineStr">
        <is>
          <t>11113</t>
        </is>
      </c>
      <c r="F80" s="20" t="n"/>
      <c r="G80" s="20" t="inlineStr">
        <is>
          <t>B000130</t>
        </is>
      </c>
      <c r="H80" s="20" t="n"/>
      <c r="I80" s="20" t="n"/>
      <c r="J80" s="21" t="n">
        <v>1887.45</v>
      </c>
      <c r="K80" s="21" t="n"/>
      <c r="L80" s="21" t="n"/>
      <c r="M80" s="21" t="n">
        <v>1887.45</v>
      </c>
      <c r="N80" s="22" t="n">
        <v>0</v>
      </c>
      <c r="O80" s="22" t="n">
        <v>81</v>
      </c>
      <c r="P80" s="20" t="inlineStr">
        <is>
          <t>Bank credit with no matching AR or GL record. Pending analyst review.</t>
        </is>
      </c>
      <c r="Q80" s="23" t="n"/>
      <c r="R80" s="23" t="n"/>
    </row>
    <row r="81">
      <c r="A81" s="20" t="inlineStr">
        <is>
          <t>E0080</t>
        </is>
      </c>
      <c r="B81" s="20" t="inlineStr">
        <is>
          <t>Missing in bank</t>
        </is>
      </c>
      <c r="C81" s="20" t="inlineStr">
        <is>
          <t>Medium</t>
        </is>
      </c>
      <c r="D81" s="20" t="inlineStr">
        <is>
          <t>SL + GL</t>
        </is>
      </c>
      <c r="E81" s="20" t="inlineStr">
        <is>
          <t>10842</t>
        </is>
      </c>
      <c r="F81" s="20" t="inlineStr">
        <is>
          <t>C040</t>
        </is>
      </c>
      <c r="G81" s="20" t="n"/>
      <c r="H81" s="20" t="inlineStr">
        <is>
          <t>S000917</t>
        </is>
      </c>
      <c r="I81" s="20" t="inlineStr">
        <is>
          <t>G000880</t>
        </is>
      </c>
      <c r="J81" s="21" t="n"/>
      <c r="K81" s="21" t="n">
        <v>1823.96</v>
      </c>
      <c r="L81" s="21" t="n">
        <v>1823.96</v>
      </c>
      <c r="M81" s="21" t="n">
        <v>1823.96</v>
      </c>
      <c r="N81" s="22" t="n">
        <v>0</v>
      </c>
      <c r="O81" s="22" t="n">
        <v>38</v>
      </c>
      <c r="P81" s="20" t="inlineStr">
        <is>
          <t>In AR subledger and GL; no matching bank credit found. Pending analyst review.</t>
        </is>
      </c>
      <c r="Q81" s="23" t="n"/>
      <c r="R81" s="23" t="n"/>
    </row>
    <row r="82">
      <c r="A82" s="20" t="inlineStr">
        <is>
          <t>E0081</t>
        </is>
      </c>
      <c r="B82" s="20" t="inlineStr">
        <is>
          <t>Missing in GL</t>
        </is>
      </c>
      <c r="C82" s="20" t="inlineStr">
        <is>
          <t>Medium</t>
        </is>
      </c>
      <c r="D82" s="20" t="inlineStr">
        <is>
          <t>BANK + SL</t>
        </is>
      </c>
      <c r="E82" s="20" t="inlineStr">
        <is>
          <t>10983</t>
        </is>
      </c>
      <c r="F82" s="20" t="inlineStr">
        <is>
          <t>C054</t>
        </is>
      </c>
      <c r="G82" s="20" t="inlineStr">
        <is>
          <t>B000835</t>
        </is>
      </c>
      <c r="H82" s="20" t="inlineStr">
        <is>
          <t>S000841</t>
        </is>
      </c>
      <c r="I82" s="20" t="n"/>
      <c r="J82" s="21" t="n">
        <v>1693.19</v>
      </c>
      <c r="K82" s="21" t="n">
        <v>1693.19</v>
      </c>
      <c r="L82" s="21" t="n"/>
      <c r="M82" s="21" t="n">
        <v>1693.19</v>
      </c>
      <c r="N82" s="22" t="n">
        <v>1</v>
      </c>
      <c r="O82" s="22" t="n">
        <v>43</v>
      </c>
      <c r="P82" s="20" t="inlineStr">
        <is>
          <t>In bank and AR subledger; no GL entry within tolerance. Pending analyst review.</t>
        </is>
      </c>
      <c r="Q82" s="23" t="n"/>
      <c r="R82" s="23" t="n"/>
    </row>
    <row r="83">
      <c r="A83" s="20" t="inlineStr">
        <is>
          <t>E0082</t>
        </is>
      </c>
      <c r="B83" s="20" t="inlineStr">
        <is>
          <t>Missing in bank</t>
        </is>
      </c>
      <c r="C83" s="20" t="inlineStr">
        <is>
          <t>Medium</t>
        </is>
      </c>
      <c r="D83" s="20" t="inlineStr">
        <is>
          <t>SL + GL</t>
        </is>
      </c>
      <c r="E83" s="20" t="inlineStr">
        <is>
          <t>11494</t>
        </is>
      </c>
      <c r="F83" s="20" t="inlineStr">
        <is>
          <t>C025</t>
        </is>
      </c>
      <c r="G83" s="20" t="n"/>
      <c r="H83" s="20" t="inlineStr">
        <is>
          <t>S000487</t>
        </is>
      </c>
      <c r="I83" s="20" t="inlineStr">
        <is>
          <t>G000485</t>
        </is>
      </c>
      <c r="J83" s="21" t="n"/>
      <c r="K83" s="21" t="n">
        <v>1683.23</v>
      </c>
      <c r="L83" s="21" t="n">
        <v>1683.23</v>
      </c>
      <c r="M83" s="21" t="n">
        <v>1683.23</v>
      </c>
      <c r="N83" s="22" t="n">
        <v>1</v>
      </c>
      <c r="O83" s="22" t="n">
        <v>61</v>
      </c>
      <c r="P83" s="20" t="inlineStr">
        <is>
          <t>In AR subledger and GL; no matching bank credit found. Pending analyst review.</t>
        </is>
      </c>
      <c r="Q83" s="23" t="n"/>
      <c r="R83" s="23" t="n"/>
    </row>
    <row r="84">
      <c r="A84" s="20" t="inlineStr">
        <is>
          <t>E0083</t>
        </is>
      </c>
      <c r="B84" s="20" t="inlineStr">
        <is>
          <t>Missing in AR</t>
        </is>
      </c>
      <c r="C84" s="20" t="inlineStr">
        <is>
          <t>Medium</t>
        </is>
      </c>
      <c r="D84" s="20" t="inlineStr">
        <is>
          <t>BANK + GL</t>
        </is>
      </c>
      <c r="E84" s="20" t="inlineStr">
        <is>
          <t>11444</t>
        </is>
      </c>
      <c r="F84" s="20" t="n"/>
      <c r="G84" s="20" t="inlineStr">
        <is>
          <t>B000898</t>
        </is>
      </c>
      <c r="H84" s="20" t="n"/>
      <c r="I84" s="20" t="inlineStr">
        <is>
          <t>G000877</t>
        </is>
      </c>
      <c r="J84" s="21" t="n">
        <v>1614.43</v>
      </c>
      <c r="K84" s="21" t="n"/>
      <c r="L84" s="21" t="n">
        <v>1614.43</v>
      </c>
      <c r="M84" s="21" t="n">
        <v>1614.43</v>
      </c>
      <c r="N84" s="22" t="n">
        <v>1</v>
      </c>
      <c r="O84" s="22" t="n">
        <v>39</v>
      </c>
      <c r="P84" s="20" t="inlineStr">
        <is>
          <t>In bank and GL; no AR subledger application found. Pending analyst review.</t>
        </is>
      </c>
      <c r="Q84" s="23" t="n"/>
      <c r="R84" s="23" t="n"/>
    </row>
    <row r="85">
      <c r="A85" s="20" t="inlineStr">
        <is>
          <t>E0084</t>
        </is>
      </c>
      <c r="B85" s="20" t="inlineStr">
        <is>
          <t>Missing in bank</t>
        </is>
      </c>
      <c r="C85" s="20" t="inlineStr">
        <is>
          <t>Medium</t>
        </is>
      </c>
      <c r="D85" s="20" t="inlineStr">
        <is>
          <t>SL + GL</t>
        </is>
      </c>
      <c r="E85" s="20" t="inlineStr">
        <is>
          <t>11213</t>
        </is>
      </c>
      <c r="F85" s="20" t="inlineStr">
        <is>
          <t>C060</t>
        </is>
      </c>
      <c r="G85" s="20" t="n"/>
      <c r="H85" s="20" t="inlineStr">
        <is>
          <t>S000057</t>
        </is>
      </c>
      <c r="I85" s="20" t="inlineStr">
        <is>
          <t>G000080</t>
        </is>
      </c>
      <c r="J85" s="21" t="n"/>
      <c r="K85" s="21" t="n">
        <v>1593.55</v>
      </c>
      <c r="L85" s="21" t="n">
        <v>1593.55</v>
      </c>
      <c r="M85" s="21" t="n">
        <v>1593.55</v>
      </c>
      <c r="N85" s="22" t="n">
        <v>2</v>
      </c>
      <c r="O85" s="22" t="n">
        <v>84</v>
      </c>
      <c r="P85" s="20" t="inlineStr">
        <is>
          <t>In AR subledger and GL; no matching bank credit found. Pending analyst review.</t>
        </is>
      </c>
      <c r="Q85" s="23" t="n"/>
      <c r="R85" s="23" t="n"/>
    </row>
    <row r="86">
      <c r="A86" s="20" t="inlineStr">
        <is>
          <t>E0085</t>
        </is>
      </c>
      <c r="B86" s="20" t="inlineStr">
        <is>
          <t>Missing in AR</t>
        </is>
      </c>
      <c r="C86" s="20" t="inlineStr">
        <is>
          <t>Medium</t>
        </is>
      </c>
      <c r="D86" s="20" t="inlineStr">
        <is>
          <t>BANK + GL</t>
        </is>
      </c>
      <c r="E86" s="20" t="inlineStr">
        <is>
          <t>10229</t>
        </is>
      </c>
      <c r="F86" s="20" t="n"/>
      <c r="G86" s="20" t="inlineStr">
        <is>
          <t>B000856</t>
        </is>
      </c>
      <c r="H86" s="20" t="n"/>
      <c r="I86" s="20" t="inlineStr">
        <is>
          <t>G000861</t>
        </is>
      </c>
      <c r="J86" s="21" t="n">
        <v>1559.28</v>
      </c>
      <c r="K86" s="21" t="n"/>
      <c r="L86" s="21" t="n">
        <v>1559.28</v>
      </c>
      <c r="M86" s="21" t="n">
        <v>1559.28</v>
      </c>
      <c r="N86" s="22" t="n">
        <v>3</v>
      </c>
      <c r="O86" s="22" t="n">
        <v>42</v>
      </c>
      <c r="P86" s="20" t="inlineStr">
        <is>
          <t>In bank and GL; no AR subledger application found. Pending analyst review.</t>
        </is>
      </c>
      <c r="Q86" s="23" t="n"/>
      <c r="R86" s="23" t="n"/>
    </row>
    <row r="87">
      <c r="A87" s="20" t="inlineStr">
        <is>
          <t>E0086</t>
        </is>
      </c>
      <c r="B87" s="20" t="inlineStr">
        <is>
          <t>Missing in bank</t>
        </is>
      </c>
      <c r="C87" s="20" t="inlineStr">
        <is>
          <t>Medium</t>
        </is>
      </c>
      <c r="D87" s="20" t="inlineStr">
        <is>
          <t>SL + GL</t>
        </is>
      </c>
      <c r="E87" s="20" t="inlineStr">
        <is>
          <t>11493</t>
        </is>
      </c>
      <c r="F87" s="20" t="inlineStr">
        <is>
          <t>C011</t>
        </is>
      </c>
      <c r="G87" s="20" t="n"/>
      <c r="H87" s="20" t="inlineStr">
        <is>
          <t>S001269</t>
        </is>
      </c>
      <c r="I87" s="20" t="inlineStr">
        <is>
          <t>G001263</t>
        </is>
      </c>
      <c r="J87" s="21" t="n"/>
      <c r="K87" s="21" t="n">
        <v>1500</v>
      </c>
      <c r="L87" s="21" t="n">
        <v>1500</v>
      </c>
      <c r="M87" s="21" t="n">
        <v>1500</v>
      </c>
      <c r="N87" s="22" t="n">
        <v>0</v>
      </c>
      <c r="O87" s="22" t="n">
        <v>19</v>
      </c>
      <c r="P87" s="20" t="inlineStr">
        <is>
          <t>In AR subledger and GL; no matching bank credit found. Pending analyst review.</t>
        </is>
      </c>
      <c r="Q87" s="23" t="n"/>
      <c r="R87" s="23" t="n"/>
    </row>
    <row r="88">
      <c r="A88" s="20" t="inlineStr">
        <is>
          <t>E0087</t>
        </is>
      </c>
      <c r="B88" s="20" t="inlineStr">
        <is>
          <t>Timing gap</t>
        </is>
      </c>
      <c r="C88" s="20" t="inlineStr">
        <is>
          <t>Medium</t>
        </is>
      </c>
      <c r="D88" s="20" t="inlineStr">
        <is>
          <t>BANK + SL + GL</t>
        </is>
      </c>
      <c r="E88" s="20" t="inlineStr">
        <is>
          <t>10826</t>
        </is>
      </c>
      <c r="F88" s="20" t="inlineStr">
        <is>
          <t>C043</t>
        </is>
      </c>
      <c r="G88" s="20" t="inlineStr">
        <is>
          <t>B001421</t>
        </is>
      </c>
      <c r="H88" s="20" t="inlineStr">
        <is>
          <t>S001473</t>
        </is>
      </c>
      <c r="I88" s="20" t="inlineStr">
        <is>
          <t>G001472</t>
        </is>
      </c>
      <c r="J88" s="21" t="n">
        <v>1500</v>
      </c>
      <c r="K88" s="21" t="n">
        <v>1500</v>
      </c>
      <c r="L88" s="21" t="n">
        <v>1500</v>
      </c>
      <c r="M88" s="21" t="n">
        <v>1500</v>
      </c>
      <c r="N88" s="22" t="n">
        <v>25</v>
      </c>
      <c r="O88" s="22" t="n">
        <v>11</v>
      </c>
      <c r="P88" s="20" t="inlineStr">
        <is>
          <t>Ties across all three systems but dates span 25 days (tolerance 7). Pending analyst review.</t>
        </is>
      </c>
      <c r="Q88" s="23" t="n"/>
      <c r="R88" s="23" t="n"/>
    </row>
    <row r="89">
      <c r="A89" s="20" t="inlineStr">
        <is>
          <t>E0088</t>
        </is>
      </c>
      <c r="B89" s="20" t="inlineStr">
        <is>
          <t>GL entry only</t>
        </is>
      </c>
      <c r="C89" s="20" t="inlineStr">
        <is>
          <t>Medium</t>
        </is>
      </c>
      <c r="D89" s="20" t="inlineStr">
        <is>
          <t>GL</t>
        </is>
      </c>
      <c r="E89" s="20" t="inlineStr">
        <is>
          <t>11123</t>
        </is>
      </c>
      <c r="F89" s="20" t="n"/>
      <c r="G89" s="20" t="n"/>
      <c r="H89" s="20" t="n"/>
      <c r="I89" s="20" t="inlineStr">
        <is>
          <t>G000918</t>
        </is>
      </c>
      <c r="J89" s="21" t="n"/>
      <c r="K89" s="21" t="n"/>
      <c r="L89" s="21" t="n">
        <v>1484.04</v>
      </c>
      <c r="M89" s="21" t="n">
        <v>1484.04</v>
      </c>
      <c r="N89" s="22" t="n">
        <v>0</v>
      </c>
      <c r="O89" s="22" t="n">
        <v>36</v>
      </c>
      <c r="P89" s="20" t="inlineStr">
        <is>
          <t>GL entry with no matching bank credit or AR application. Pending analyst review.</t>
        </is>
      </c>
      <c r="Q89" s="23" t="n"/>
      <c r="R89" s="23" t="n"/>
    </row>
    <row r="90">
      <c r="A90" s="20" t="inlineStr">
        <is>
          <t>E0089</t>
        </is>
      </c>
      <c r="B90" s="20" t="inlineStr">
        <is>
          <t>Missing in bank</t>
        </is>
      </c>
      <c r="C90" s="20" t="inlineStr">
        <is>
          <t>Medium</t>
        </is>
      </c>
      <c r="D90" s="20" t="inlineStr">
        <is>
          <t>SL + GL</t>
        </is>
      </c>
      <c r="E90" s="20" t="inlineStr">
        <is>
          <t>11262</t>
        </is>
      </c>
      <c r="F90" s="20" t="inlineStr">
        <is>
          <t>C033</t>
        </is>
      </c>
      <c r="G90" s="20" t="n"/>
      <c r="H90" s="20" t="inlineStr">
        <is>
          <t>S000661</t>
        </is>
      </c>
      <c r="I90" s="20" t="inlineStr">
        <is>
          <t>G000647</t>
        </is>
      </c>
      <c r="J90" s="21" t="n"/>
      <c r="K90" s="21" t="n">
        <v>1318.71</v>
      </c>
      <c r="L90" s="21" t="n">
        <v>1318.71</v>
      </c>
      <c r="M90" s="21" t="n">
        <v>1318.71</v>
      </c>
      <c r="N90" s="22" t="n">
        <v>0</v>
      </c>
      <c r="O90" s="22" t="n">
        <v>51</v>
      </c>
      <c r="P90" s="20" t="inlineStr">
        <is>
          <t>In AR subledger and GL; no matching bank credit found. Pending analyst review.</t>
        </is>
      </c>
      <c r="Q90" s="23" t="n"/>
      <c r="R90" s="23" t="n"/>
    </row>
    <row r="91">
      <c r="A91" s="20" t="inlineStr">
        <is>
          <t>E0090</t>
        </is>
      </c>
      <c r="B91" s="20" t="inlineStr">
        <is>
          <t>Bank credit only</t>
        </is>
      </c>
      <c r="C91" s="20" t="inlineStr">
        <is>
          <t>Medium</t>
        </is>
      </c>
      <c r="D91" s="20" t="inlineStr">
        <is>
          <t>BANK</t>
        </is>
      </c>
      <c r="E91" s="20" t="inlineStr">
        <is>
          <t>10350</t>
        </is>
      </c>
      <c r="F91" s="20" t="n"/>
      <c r="G91" s="20" t="inlineStr">
        <is>
          <t>B000736</t>
        </is>
      </c>
      <c r="H91" s="20" t="n"/>
      <c r="I91" s="20" t="n"/>
      <c r="J91" s="21" t="n">
        <v>1318.52</v>
      </c>
      <c r="K91" s="21" t="n"/>
      <c r="L91" s="21" t="n"/>
      <c r="M91" s="21" t="n">
        <v>1318.52</v>
      </c>
      <c r="N91" s="22" t="n">
        <v>0</v>
      </c>
      <c r="O91" s="22" t="n">
        <v>48</v>
      </c>
      <c r="P91" s="20" t="inlineStr">
        <is>
          <t>Bank credit with no matching AR or GL record. Pending analyst review.</t>
        </is>
      </c>
      <c r="Q91" s="23" t="n"/>
      <c r="R91" s="23" t="n"/>
    </row>
    <row r="92">
      <c r="A92" s="20" t="inlineStr">
        <is>
          <t>E0091</t>
        </is>
      </c>
      <c r="B92" s="20" t="inlineStr">
        <is>
          <t>Missing in AR</t>
        </is>
      </c>
      <c r="C92" s="20" t="inlineStr">
        <is>
          <t>Medium</t>
        </is>
      </c>
      <c r="D92" s="20" t="inlineStr">
        <is>
          <t>BANK + GL</t>
        </is>
      </c>
      <c r="E92" s="20" t="inlineStr">
        <is>
          <t>11427</t>
        </is>
      </c>
      <c r="F92" s="20" t="n"/>
      <c r="G92" s="20" t="inlineStr">
        <is>
          <t>B000622</t>
        </is>
      </c>
      <c r="H92" s="20" t="n"/>
      <c r="I92" s="20" t="inlineStr">
        <is>
          <t>G000663</t>
        </is>
      </c>
      <c r="J92" s="21" t="n">
        <v>1302.02</v>
      </c>
      <c r="K92" s="21" t="n"/>
      <c r="L92" s="21" t="n">
        <v>1302.02</v>
      </c>
      <c r="M92" s="21" t="n">
        <v>1302.02</v>
      </c>
      <c r="N92" s="22" t="n">
        <v>3</v>
      </c>
      <c r="O92" s="22" t="n">
        <v>53</v>
      </c>
      <c r="P92" s="20" t="inlineStr">
        <is>
          <t>In bank and GL; no AR subledger application found. Pending analyst review.</t>
        </is>
      </c>
      <c r="Q92" s="23" t="n"/>
      <c r="R92" s="23" t="n"/>
    </row>
    <row r="93">
      <c r="A93" s="20" t="inlineStr">
        <is>
          <t>E0092</t>
        </is>
      </c>
      <c r="B93" s="20" t="inlineStr">
        <is>
          <t>AR application only</t>
        </is>
      </c>
      <c r="C93" s="20" t="inlineStr">
        <is>
          <t>Medium</t>
        </is>
      </c>
      <c r="D93" s="20" t="inlineStr">
        <is>
          <t>SL</t>
        </is>
      </c>
      <c r="E93" s="20" t="inlineStr">
        <is>
          <t>10556</t>
        </is>
      </c>
      <c r="F93" s="20" t="inlineStr">
        <is>
          <t>C049</t>
        </is>
      </c>
      <c r="G93" s="20" t="n"/>
      <c r="H93" s="20" t="inlineStr">
        <is>
          <t>S000503</t>
        </is>
      </c>
      <c r="I93" s="20" t="n"/>
      <c r="J93" s="21" t="n"/>
      <c r="K93" s="21" t="n">
        <v>1272.62</v>
      </c>
      <c r="L93" s="21" t="n"/>
      <c r="M93" s="21" t="n">
        <v>1272.62</v>
      </c>
      <c r="N93" s="22" t="n">
        <v>0</v>
      </c>
      <c r="O93" s="22" t="n">
        <v>60</v>
      </c>
      <c r="P93" s="20" t="inlineStr">
        <is>
          <t>AR application with no matching bank credit or GL entry. Pending analyst review.</t>
        </is>
      </c>
      <c r="Q93" s="23" t="n"/>
      <c r="R93" s="23" t="n"/>
    </row>
    <row r="94">
      <c r="A94" s="20" t="inlineStr">
        <is>
          <t>E0093</t>
        </is>
      </c>
      <c r="B94" s="20" t="inlineStr">
        <is>
          <t>Duplicate posting</t>
        </is>
      </c>
      <c r="C94" s="20" t="inlineStr">
        <is>
          <t>Medium</t>
        </is>
      </c>
      <c r="D94" s="20" t="inlineStr">
        <is>
          <t>GL</t>
        </is>
      </c>
      <c r="E94" s="20" t="inlineStr">
        <is>
          <t>10979</t>
        </is>
      </c>
      <c r="F94" s="20" t="n"/>
      <c r="G94" s="20" t="n"/>
      <c r="H94" s="20" t="n"/>
      <c r="I94" s="20" t="inlineStr">
        <is>
          <t>G000638</t>
        </is>
      </c>
      <c r="J94" s="21" t="n"/>
      <c r="K94" s="21" t="n"/>
      <c r="L94" s="21" t="n">
        <v>1206.62</v>
      </c>
      <c r="M94" s="21" t="n">
        <v>1206.62</v>
      </c>
      <c r="N94" s="22" t="n">
        <v>2</v>
      </c>
      <c r="O94" s="22" t="n">
        <v>51</v>
      </c>
      <c r="P94" s="20" t="inlineStr">
        <is>
          <t>Same reference and amount already posted once in GL (G000595). Pending analyst review.</t>
        </is>
      </c>
      <c r="Q94" s="23" t="n"/>
      <c r="R94" s="23" t="n"/>
    </row>
    <row r="95">
      <c r="A95" s="20" t="inlineStr">
        <is>
          <t>E0094</t>
        </is>
      </c>
      <c r="B95" s="20" t="inlineStr">
        <is>
          <t>Missing in GL</t>
        </is>
      </c>
      <c r="C95" s="20" t="inlineStr">
        <is>
          <t>Medium</t>
        </is>
      </c>
      <c r="D95" s="20" t="inlineStr">
        <is>
          <t>BANK + SL</t>
        </is>
      </c>
      <c r="E95" s="20" t="inlineStr">
        <is>
          <t>11334</t>
        </is>
      </c>
      <c r="F95" s="20" t="inlineStr">
        <is>
          <t>C010</t>
        </is>
      </c>
      <c r="G95" s="20" t="inlineStr">
        <is>
          <t>B000058</t>
        </is>
      </c>
      <c r="H95" s="20" t="inlineStr">
        <is>
          <t>S000069</t>
        </is>
      </c>
      <c r="I95" s="20" t="n"/>
      <c r="J95" s="21" t="n">
        <v>1172.76</v>
      </c>
      <c r="K95" s="21" t="n">
        <v>1173.51</v>
      </c>
      <c r="L95" s="21" t="n"/>
      <c r="M95" s="21" t="n">
        <v>1173.51</v>
      </c>
      <c r="N95" s="22" t="n">
        <v>1</v>
      </c>
      <c r="O95" s="22" t="n">
        <v>85</v>
      </c>
      <c r="P95" s="20" t="inlineStr">
        <is>
          <t>In bank and AR subledger; no GL entry within tolerance. Pending analyst review.</t>
        </is>
      </c>
      <c r="Q95" s="23" t="n"/>
      <c r="R95" s="23" t="n"/>
    </row>
    <row r="96">
      <c r="A96" s="20" t="inlineStr">
        <is>
          <t>E0095</t>
        </is>
      </c>
      <c r="B96" s="20" t="inlineStr">
        <is>
          <t>Missing in GL</t>
        </is>
      </c>
      <c r="C96" s="20" t="inlineStr">
        <is>
          <t>Medium</t>
        </is>
      </c>
      <c r="D96" s="20" t="inlineStr">
        <is>
          <t>BANK + SL</t>
        </is>
      </c>
      <c r="E96" s="20" t="inlineStr">
        <is>
          <t>10943</t>
        </is>
      </c>
      <c r="F96" s="20" t="inlineStr">
        <is>
          <t>C013</t>
        </is>
      </c>
      <c r="G96" s="20" t="inlineStr">
        <is>
          <t>B000493</t>
        </is>
      </c>
      <c r="H96" s="20" t="inlineStr">
        <is>
          <t>S000525</t>
        </is>
      </c>
      <c r="I96" s="20" t="n"/>
      <c r="J96" s="21" t="n">
        <v>1164.73</v>
      </c>
      <c r="K96" s="21" t="n">
        <v>1164.73</v>
      </c>
      <c r="L96" s="21" t="n"/>
      <c r="M96" s="21" t="n">
        <v>1164.73</v>
      </c>
      <c r="N96" s="22" t="n">
        <v>2</v>
      </c>
      <c r="O96" s="22" t="n">
        <v>61</v>
      </c>
      <c r="P96" s="20" t="inlineStr">
        <is>
          <t>In bank and AR subledger; no GL entry within tolerance. Pending analyst review.</t>
        </is>
      </c>
      <c r="Q96" s="23" t="n"/>
      <c r="R96" s="23" t="n"/>
    </row>
    <row r="97">
      <c r="A97" s="20" t="inlineStr">
        <is>
          <t>E0096</t>
        </is>
      </c>
      <c r="B97" s="20" t="inlineStr">
        <is>
          <t>Timing gap</t>
        </is>
      </c>
      <c r="C97" s="20" t="inlineStr">
        <is>
          <t>Medium</t>
        </is>
      </c>
      <c r="D97" s="20" t="inlineStr">
        <is>
          <t>BANK + SL + GL</t>
        </is>
      </c>
      <c r="E97" s="20" t="inlineStr">
        <is>
          <t>10528</t>
        </is>
      </c>
      <c r="F97" s="20" t="inlineStr">
        <is>
          <t>C022</t>
        </is>
      </c>
      <c r="G97" s="20" t="inlineStr">
        <is>
          <t>B000301</t>
        </is>
      </c>
      <c r="H97" s="20" t="inlineStr">
        <is>
          <t>S000308</t>
        </is>
      </c>
      <c r="I97" s="20" t="inlineStr">
        <is>
          <t>G000690</t>
        </is>
      </c>
      <c r="J97" s="21" t="n">
        <v>1146.84</v>
      </c>
      <c r="K97" s="21" t="n">
        <v>1146.84</v>
      </c>
      <c r="L97" s="21" t="n">
        <v>1146.84</v>
      </c>
      <c r="M97" s="21" t="n">
        <v>1146.84</v>
      </c>
      <c r="N97" s="22" t="n">
        <v>24</v>
      </c>
      <c r="O97" s="22" t="n">
        <v>72</v>
      </c>
      <c r="P97" s="20" t="inlineStr">
        <is>
          <t>Ties across all three systems but dates span 24 days (tolerance 7). Pending analyst review.</t>
        </is>
      </c>
      <c r="Q97" s="23" t="n"/>
      <c r="R97" s="23" t="n"/>
    </row>
    <row r="98">
      <c r="A98" s="20" t="inlineStr">
        <is>
          <t>E0097</t>
        </is>
      </c>
      <c r="B98" s="20" t="inlineStr">
        <is>
          <t>Missing in AR</t>
        </is>
      </c>
      <c r="C98" s="20" t="inlineStr">
        <is>
          <t>Medium</t>
        </is>
      </c>
      <c r="D98" s="20" t="inlineStr">
        <is>
          <t>BANK + GL</t>
        </is>
      </c>
      <c r="E98" s="20" t="inlineStr">
        <is>
          <t>11223</t>
        </is>
      </c>
      <c r="F98" s="20" t="n"/>
      <c r="G98" s="20" t="inlineStr">
        <is>
          <t>B001398</t>
        </is>
      </c>
      <c r="H98" s="20" t="n"/>
      <c r="I98" s="20" t="inlineStr">
        <is>
          <t>G001407</t>
        </is>
      </c>
      <c r="J98" s="21" t="n">
        <v>1137.54</v>
      </c>
      <c r="K98" s="21" t="n"/>
      <c r="L98" s="21" t="n">
        <v>1137.54</v>
      </c>
      <c r="M98" s="21" t="n">
        <v>1137.54</v>
      </c>
      <c r="N98" s="22" t="n">
        <v>2</v>
      </c>
      <c r="O98" s="22" t="n">
        <v>12</v>
      </c>
      <c r="P98" s="20" t="inlineStr">
        <is>
          <t>In bank and GL; no AR subledger application found. Pending analyst review.</t>
        </is>
      </c>
      <c r="Q98" s="23" t="n"/>
      <c r="R98" s="23" t="n"/>
    </row>
    <row r="99">
      <c r="A99" s="20" t="inlineStr">
        <is>
          <t>E0098</t>
        </is>
      </c>
      <c r="B99" s="20" t="inlineStr">
        <is>
          <t>Bank credit only</t>
        </is>
      </c>
      <c r="C99" s="20" t="inlineStr">
        <is>
          <t>Medium</t>
        </is>
      </c>
      <c r="D99" s="20" t="inlineStr">
        <is>
          <t>BANK</t>
        </is>
      </c>
      <c r="E99" s="20" t="inlineStr">
        <is>
          <t>10714</t>
        </is>
      </c>
      <c r="F99" s="20" t="n"/>
      <c r="G99" s="20" t="inlineStr">
        <is>
          <t>B000186</t>
        </is>
      </c>
      <c r="H99" s="20" t="n"/>
      <c r="I99" s="20" t="n"/>
      <c r="J99" s="21" t="n">
        <v>1136.64</v>
      </c>
      <c r="K99" s="21" t="n"/>
      <c r="L99" s="21" t="n"/>
      <c r="M99" s="21" t="n">
        <v>1136.64</v>
      </c>
      <c r="N99" s="22" t="n">
        <v>0</v>
      </c>
      <c r="O99" s="22" t="n">
        <v>79</v>
      </c>
      <c r="P99" s="20" t="inlineStr">
        <is>
          <t>Bank credit with no matching AR or GL record. Pending analyst review.</t>
        </is>
      </c>
      <c r="Q99" s="23" t="n"/>
      <c r="R99" s="23" t="n"/>
    </row>
    <row r="100">
      <c r="A100" s="20" t="inlineStr">
        <is>
          <t>E0099</t>
        </is>
      </c>
      <c r="B100" s="20" t="inlineStr">
        <is>
          <t>Duplicate posting</t>
        </is>
      </c>
      <c r="C100" s="20" t="inlineStr">
        <is>
          <t>Medium</t>
        </is>
      </c>
      <c r="D100" s="20" t="inlineStr">
        <is>
          <t>GL</t>
        </is>
      </c>
      <c r="E100" s="20" t="inlineStr">
        <is>
          <t>10835</t>
        </is>
      </c>
      <c r="F100" s="20" t="n"/>
      <c r="G100" s="20" t="n"/>
      <c r="H100" s="20" t="n"/>
      <c r="I100" s="20" t="inlineStr">
        <is>
          <t>G000537</t>
        </is>
      </c>
      <c r="J100" s="21" t="n"/>
      <c r="K100" s="21" t="n"/>
      <c r="L100" s="21" t="n">
        <v>1134.43</v>
      </c>
      <c r="M100" s="21" t="n">
        <v>1134.43</v>
      </c>
      <c r="N100" s="22" t="n">
        <v>1</v>
      </c>
      <c r="O100" s="22" t="n">
        <v>56</v>
      </c>
      <c r="P100" s="20" t="inlineStr">
        <is>
          <t>Same reference and amount already posted once in GL (G000520). Pending analyst review.</t>
        </is>
      </c>
      <c r="Q100" s="23" t="n"/>
      <c r="R100" s="23" t="n"/>
    </row>
    <row r="101">
      <c r="A101" s="20" t="inlineStr">
        <is>
          <t>E0100</t>
        </is>
      </c>
      <c r="B101" s="20" t="inlineStr">
        <is>
          <t>Missing in bank</t>
        </is>
      </c>
      <c r="C101" s="20" t="inlineStr">
        <is>
          <t>Medium</t>
        </is>
      </c>
      <c r="D101" s="20" t="inlineStr">
        <is>
          <t>SL + GL</t>
        </is>
      </c>
      <c r="E101" s="20" t="inlineStr">
        <is>
          <t>10618</t>
        </is>
      </c>
      <c r="F101" s="20" t="inlineStr">
        <is>
          <t>C035</t>
        </is>
      </c>
      <c r="G101" s="20" t="n"/>
      <c r="H101" s="20" t="inlineStr">
        <is>
          <t>S000566</t>
        </is>
      </c>
      <c r="I101" s="20" t="inlineStr">
        <is>
          <t>G000542</t>
        </is>
      </c>
      <c r="J101" s="21" t="n"/>
      <c r="K101" s="21" t="n">
        <v>1114.47</v>
      </c>
      <c r="L101" s="21" t="n">
        <v>1114.47</v>
      </c>
      <c r="M101" s="21" t="n">
        <v>1114.47</v>
      </c>
      <c r="N101" s="22" t="n">
        <v>0</v>
      </c>
      <c r="O101" s="22" t="n">
        <v>56</v>
      </c>
      <c r="P101" s="20" t="inlineStr">
        <is>
          <t>In AR subledger and GL; no matching bank credit found. Pending analyst review.</t>
        </is>
      </c>
      <c r="Q101" s="23" t="n"/>
      <c r="R101" s="23" t="n"/>
    </row>
    <row r="102">
      <c r="A102" s="20" t="inlineStr">
        <is>
          <t>E0101</t>
        </is>
      </c>
      <c r="B102" s="20" t="inlineStr">
        <is>
          <t>Missing in GL</t>
        </is>
      </c>
      <c r="C102" s="20" t="inlineStr">
        <is>
          <t>Medium</t>
        </is>
      </c>
      <c r="D102" s="20" t="inlineStr">
        <is>
          <t>BANK + SL</t>
        </is>
      </c>
      <c r="E102" s="20" t="inlineStr">
        <is>
          <t>10371</t>
        </is>
      </c>
      <c r="F102" s="20" t="inlineStr">
        <is>
          <t>C005</t>
        </is>
      </c>
      <c r="G102" s="20" t="inlineStr">
        <is>
          <t>B001319</t>
        </is>
      </c>
      <c r="H102" s="20" t="inlineStr">
        <is>
          <t>S001343</t>
        </is>
      </c>
      <c r="I102" s="20" t="n"/>
      <c r="J102" s="21" t="n">
        <v>1094.17</v>
      </c>
      <c r="K102" s="21" t="n">
        <v>1094.17</v>
      </c>
      <c r="L102" s="21" t="n"/>
      <c r="M102" s="21" t="n">
        <v>1094.17</v>
      </c>
      <c r="N102" s="22" t="n">
        <v>1</v>
      </c>
      <c r="O102" s="22" t="n">
        <v>16</v>
      </c>
      <c r="P102" s="20" t="inlineStr">
        <is>
          <t>In bank and AR subledger; no GL entry within tolerance. Pending analyst review.</t>
        </is>
      </c>
      <c r="Q102" s="23" t="n"/>
      <c r="R102" s="23" t="n"/>
    </row>
    <row r="103">
      <c r="A103" s="20" t="inlineStr">
        <is>
          <t>E0102</t>
        </is>
      </c>
      <c r="B103" s="20" t="inlineStr">
        <is>
          <t>Missing in GL</t>
        </is>
      </c>
      <c r="C103" s="20" t="inlineStr">
        <is>
          <t>Medium</t>
        </is>
      </c>
      <c r="D103" s="20" t="inlineStr">
        <is>
          <t>BANK + SL</t>
        </is>
      </c>
      <c r="E103" s="20" t="inlineStr">
        <is>
          <t>10352</t>
        </is>
      </c>
      <c r="F103" s="20" t="inlineStr">
        <is>
          <t>C027</t>
        </is>
      </c>
      <c r="G103" s="20" t="inlineStr">
        <is>
          <t>B001110</t>
        </is>
      </c>
      <c r="H103" s="20" t="inlineStr">
        <is>
          <t>S001110</t>
        </is>
      </c>
      <c r="I103" s="20" t="n"/>
      <c r="J103" s="21" t="n">
        <v>1067.44</v>
      </c>
      <c r="K103" s="21" t="n">
        <v>1067.44</v>
      </c>
      <c r="L103" s="21" t="n"/>
      <c r="M103" s="21" t="n">
        <v>1067.44</v>
      </c>
      <c r="N103" s="22" t="n">
        <v>0</v>
      </c>
      <c r="O103" s="22" t="n">
        <v>27</v>
      </c>
      <c r="P103" s="20" t="inlineStr">
        <is>
          <t>In bank and AR subledger; no GL entry within tolerance. Pending analyst review.</t>
        </is>
      </c>
      <c r="Q103" s="23" t="n"/>
      <c r="R103" s="23" t="n"/>
    </row>
    <row r="104">
      <c r="A104" s="20" t="inlineStr">
        <is>
          <t>E0103</t>
        </is>
      </c>
      <c r="B104" s="20" t="inlineStr">
        <is>
          <t>Timing gap</t>
        </is>
      </c>
      <c r="C104" s="20" t="inlineStr">
        <is>
          <t>Medium</t>
        </is>
      </c>
      <c r="D104" s="20" t="inlineStr">
        <is>
          <t>BANK + SL + GL</t>
        </is>
      </c>
      <c r="E104" s="20" t="inlineStr">
        <is>
          <t>10786</t>
        </is>
      </c>
      <c r="F104" s="20" t="inlineStr">
        <is>
          <t>C022</t>
        </is>
      </c>
      <c r="G104" s="20" t="inlineStr">
        <is>
          <t>B001044</t>
        </is>
      </c>
      <c r="H104" s="20" t="inlineStr">
        <is>
          <t>S001042</t>
        </is>
      </c>
      <c r="I104" s="20" t="inlineStr">
        <is>
          <t>G001185</t>
        </is>
      </c>
      <c r="J104" s="21" t="n">
        <v>1062.81</v>
      </c>
      <c r="K104" s="21" t="n">
        <v>1062.81</v>
      </c>
      <c r="L104" s="21" t="n">
        <v>1062.81</v>
      </c>
      <c r="M104" s="21" t="n">
        <v>1062.81</v>
      </c>
      <c r="N104" s="22" t="n">
        <v>9</v>
      </c>
      <c r="O104" s="22" t="n">
        <v>31</v>
      </c>
      <c r="P104" s="20" t="inlineStr">
        <is>
          <t>Ties across all three systems but dates span 9 days (tolerance 7). Pending analyst review.</t>
        </is>
      </c>
      <c r="Q104" s="23" t="n"/>
      <c r="R104" s="23" t="n"/>
    </row>
    <row r="105">
      <c r="A105" s="20" t="inlineStr">
        <is>
          <t>E0104</t>
        </is>
      </c>
      <c r="B105" s="20" t="inlineStr">
        <is>
          <t>Duplicate posting</t>
        </is>
      </c>
      <c r="C105" s="20" t="inlineStr">
        <is>
          <t>Medium</t>
        </is>
      </c>
      <c r="D105" s="20" t="inlineStr">
        <is>
          <t>GL</t>
        </is>
      </c>
      <c r="E105" s="20" t="inlineStr">
        <is>
          <t>10292</t>
        </is>
      </c>
      <c r="F105" s="20" t="n"/>
      <c r="G105" s="20" t="n"/>
      <c r="H105" s="20" t="n"/>
      <c r="I105" s="20" t="inlineStr">
        <is>
          <t>G001293</t>
        </is>
      </c>
      <c r="J105" s="21" t="n"/>
      <c r="K105" s="21" t="n"/>
      <c r="L105" s="21" t="n">
        <v>1059.66</v>
      </c>
      <c r="M105" s="21" t="n">
        <v>1059.66</v>
      </c>
      <c r="N105" s="22" t="n">
        <v>2</v>
      </c>
      <c r="O105" s="22" t="n">
        <v>16</v>
      </c>
      <c r="P105" s="20" t="inlineStr">
        <is>
          <t>Same reference and amount already posted once in GL (G001270). Pending analyst review.</t>
        </is>
      </c>
      <c r="Q105" s="23" t="n"/>
      <c r="R105" s="23" t="n"/>
    </row>
    <row r="106">
      <c r="A106" s="20" t="inlineStr">
        <is>
          <t>E0105</t>
        </is>
      </c>
      <c r="B106" s="20" t="inlineStr">
        <is>
          <t>Amount mismatch</t>
        </is>
      </c>
      <c r="C106" s="20" t="inlineStr">
        <is>
          <t>Low</t>
        </is>
      </c>
      <c r="D106" s="20" t="inlineStr">
        <is>
          <t>BANK + SL + GL</t>
        </is>
      </c>
      <c r="E106" s="20" t="inlineStr">
        <is>
          <t>10153</t>
        </is>
      </c>
      <c r="F106" s="20" t="inlineStr">
        <is>
          <t>C045</t>
        </is>
      </c>
      <c r="G106" s="20" t="inlineStr">
        <is>
          <t>B000794</t>
        </is>
      </c>
      <c r="H106" s="20" t="inlineStr">
        <is>
          <t>S000851</t>
        </is>
      </c>
      <c r="I106" s="20" t="inlineStr">
        <is>
          <t>G000847</t>
        </is>
      </c>
      <c r="J106" s="21" t="n">
        <v>1046.63</v>
      </c>
      <c r="K106" s="21" t="n">
        <v>1046.63</v>
      </c>
      <c r="L106" s="21" t="n">
        <v>146.63</v>
      </c>
      <c r="M106" s="21" t="n">
        <v>900</v>
      </c>
      <c r="N106" s="22" t="n">
        <v>5</v>
      </c>
      <c r="O106" s="22" t="n">
        <v>45</v>
      </c>
      <c r="P106" s="20" t="inlineStr">
        <is>
          <t>Reference ties across all three systems but amounts differ by $900.00 (tolerance $1.00). Pending analyst review.</t>
        </is>
      </c>
      <c r="Q106" s="23" t="n"/>
      <c r="R106" s="23" t="n"/>
    </row>
    <row r="107">
      <c r="A107" s="20" t="inlineStr">
        <is>
          <t>E0106</t>
        </is>
      </c>
      <c r="B107" s="20" t="inlineStr">
        <is>
          <t>Amount mismatch</t>
        </is>
      </c>
      <c r="C107" s="20" t="inlineStr">
        <is>
          <t>Low</t>
        </is>
      </c>
      <c r="D107" s="20" t="inlineStr">
        <is>
          <t>BANK + SL + GL</t>
        </is>
      </c>
      <c r="E107" s="20" t="inlineStr">
        <is>
          <t>11100</t>
        </is>
      </c>
      <c r="F107" s="20" t="inlineStr">
        <is>
          <t>C038</t>
        </is>
      </c>
      <c r="G107" s="20" t="inlineStr">
        <is>
          <t>B000611</t>
        </is>
      </c>
      <c r="H107" s="20" t="inlineStr">
        <is>
          <t>S000603</t>
        </is>
      </c>
      <c r="I107" s="20" t="inlineStr">
        <is>
          <t>G000575</t>
        </is>
      </c>
      <c r="J107" s="21" t="n">
        <v>5996.56</v>
      </c>
      <c r="K107" s="21" t="n">
        <v>5097.08</v>
      </c>
      <c r="L107" s="21" t="n">
        <v>5996.56</v>
      </c>
      <c r="M107" s="21" t="n">
        <v>899.48</v>
      </c>
      <c r="N107" s="22" t="n">
        <v>0</v>
      </c>
      <c r="O107" s="22" t="n">
        <v>54</v>
      </c>
      <c r="P107" s="20" t="inlineStr">
        <is>
          <t>Reference ties across all three systems but amounts differ by $899.48 (tolerance $1.00). Pending analyst review.</t>
        </is>
      </c>
      <c r="Q107" s="23" t="n"/>
      <c r="R107" s="23" t="n"/>
    </row>
    <row r="108">
      <c r="A108" s="20" t="inlineStr">
        <is>
          <t>E0107</t>
        </is>
      </c>
      <c r="B108" s="20" t="inlineStr">
        <is>
          <t>AR application only</t>
        </is>
      </c>
      <c r="C108" s="20" t="inlineStr">
        <is>
          <t>Low</t>
        </is>
      </c>
      <c r="D108" s="20" t="inlineStr">
        <is>
          <t>SL</t>
        </is>
      </c>
      <c r="E108" s="20" t="inlineStr">
        <is>
          <t>10049</t>
        </is>
      </c>
      <c r="F108" s="20" t="inlineStr">
        <is>
          <t>C048</t>
        </is>
      </c>
      <c r="G108" s="20" t="n"/>
      <c r="H108" s="20" t="inlineStr">
        <is>
          <t>S000358</t>
        </is>
      </c>
      <c r="I108" s="20" t="n"/>
      <c r="J108" s="21" t="n"/>
      <c r="K108" s="21" t="n">
        <v>835.48</v>
      </c>
      <c r="L108" s="21" t="n"/>
      <c r="M108" s="21" t="n">
        <v>835.48</v>
      </c>
      <c r="N108" s="22" t="n">
        <v>0</v>
      </c>
      <c r="O108" s="22" t="n">
        <v>68</v>
      </c>
      <c r="P108" s="20" t="inlineStr">
        <is>
          <t>AR application with no matching bank credit or GL entry. Pending analyst review.</t>
        </is>
      </c>
      <c r="Q108" s="23" t="n"/>
      <c r="R108" s="23" t="n"/>
    </row>
    <row r="109">
      <c r="A109" s="20" t="inlineStr">
        <is>
          <t>E0108</t>
        </is>
      </c>
      <c r="B109" s="20" t="inlineStr">
        <is>
          <t>Missing in GL</t>
        </is>
      </c>
      <c r="C109" s="20" t="inlineStr">
        <is>
          <t>Low</t>
        </is>
      </c>
      <c r="D109" s="20" t="inlineStr">
        <is>
          <t>BANK + SL</t>
        </is>
      </c>
      <c r="E109" s="20" t="inlineStr">
        <is>
          <t>10715</t>
        </is>
      </c>
      <c r="F109" s="20" t="inlineStr">
        <is>
          <t>C016</t>
        </is>
      </c>
      <c r="G109" s="20" t="inlineStr">
        <is>
          <t>B000710</t>
        </is>
      </c>
      <c r="H109" s="20" t="inlineStr">
        <is>
          <t>S000726</t>
        </is>
      </c>
      <c r="I109" s="20" t="n"/>
      <c r="J109" s="21" t="n">
        <v>824.12</v>
      </c>
      <c r="K109" s="21" t="n">
        <v>824.12</v>
      </c>
      <c r="L109" s="21" t="n"/>
      <c r="M109" s="21" t="n">
        <v>824.12</v>
      </c>
      <c r="N109" s="22" t="n">
        <v>1</v>
      </c>
      <c r="O109" s="22" t="n">
        <v>49</v>
      </c>
      <c r="P109" s="20" t="inlineStr">
        <is>
          <t>In bank and AR subledger; no GL entry within tolerance. Pending analyst review.</t>
        </is>
      </c>
      <c r="Q109" s="23" t="n"/>
      <c r="R109" s="23" t="n"/>
    </row>
    <row r="110">
      <c r="A110" s="20" t="inlineStr">
        <is>
          <t>E0109</t>
        </is>
      </c>
      <c r="B110" s="20" t="inlineStr">
        <is>
          <t>Timing gap</t>
        </is>
      </c>
      <c r="C110" s="20" t="inlineStr">
        <is>
          <t>Low</t>
        </is>
      </c>
      <c r="D110" s="20" t="inlineStr">
        <is>
          <t>BANK + SL + GL</t>
        </is>
      </c>
      <c r="E110" s="20" t="inlineStr">
        <is>
          <t>10968</t>
        </is>
      </c>
      <c r="F110" s="20" t="inlineStr">
        <is>
          <t>C051</t>
        </is>
      </c>
      <c r="G110" s="20" t="inlineStr">
        <is>
          <t>B001348</t>
        </is>
      </c>
      <c r="H110" s="20" t="inlineStr">
        <is>
          <t>S001330</t>
        </is>
      </c>
      <c r="I110" s="20" t="inlineStr">
        <is>
          <t>G001470</t>
        </is>
      </c>
      <c r="J110" s="21" t="n">
        <v>786.4</v>
      </c>
      <c r="K110" s="21" t="n">
        <v>786.4</v>
      </c>
      <c r="L110" s="21" t="n">
        <v>786.4</v>
      </c>
      <c r="M110" s="21" t="n">
        <v>786.4</v>
      </c>
      <c r="N110" s="22" t="n">
        <v>28</v>
      </c>
      <c r="O110" s="22" t="n">
        <v>15</v>
      </c>
      <c r="P110" s="20" t="inlineStr">
        <is>
          <t>Ties across all three systems but dates span 28 days (tolerance 7). Pending analyst review.</t>
        </is>
      </c>
      <c r="Q110" s="23" t="n"/>
      <c r="R110" s="23" t="n"/>
    </row>
    <row r="111">
      <c r="A111" s="20" t="inlineStr">
        <is>
          <t>E0110</t>
        </is>
      </c>
      <c r="B111" s="20" t="inlineStr">
        <is>
          <t>Duplicate posting</t>
        </is>
      </c>
      <c r="C111" s="20" t="inlineStr">
        <is>
          <t>Low</t>
        </is>
      </c>
      <c r="D111" s="20" t="inlineStr">
        <is>
          <t>GL</t>
        </is>
      </c>
      <c r="E111" s="20" t="inlineStr">
        <is>
          <t>11200</t>
        </is>
      </c>
      <c r="F111" s="20" t="n"/>
      <c r="G111" s="20" t="n"/>
      <c r="H111" s="20" t="n"/>
      <c r="I111" s="20" t="inlineStr">
        <is>
          <t>G000237</t>
        </is>
      </c>
      <c r="J111" s="21" t="n"/>
      <c r="K111" s="21" t="n"/>
      <c r="L111" s="21" t="n">
        <v>750</v>
      </c>
      <c r="M111" s="21" t="n">
        <v>750</v>
      </c>
      <c r="N111" s="22" t="n">
        <v>1</v>
      </c>
      <c r="O111" s="22" t="n">
        <v>74</v>
      </c>
      <c r="P111" s="20" t="inlineStr">
        <is>
          <t>Same reference and amount already posted once in GL (G000217). Pending analyst review.</t>
        </is>
      </c>
      <c r="Q111" s="23" t="n"/>
      <c r="R111" s="23" t="n"/>
    </row>
    <row r="112">
      <c r="A112" s="20" t="inlineStr">
        <is>
          <t>E0111</t>
        </is>
      </c>
      <c r="B112" s="20" t="inlineStr">
        <is>
          <t>AR application only</t>
        </is>
      </c>
      <c r="C112" s="20" t="inlineStr">
        <is>
          <t>Low</t>
        </is>
      </c>
      <c r="D112" s="20" t="inlineStr">
        <is>
          <t>SL</t>
        </is>
      </c>
      <c r="E112" s="20" t="inlineStr">
        <is>
          <t>10154</t>
        </is>
      </c>
      <c r="F112" s="20" t="inlineStr">
        <is>
          <t>C018</t>
        </is>
      </c>
      <c r="G112" s="20" t="n"/>
      <c r="H112" s="20" t="inlineStr">
        <is>
          <t>S000693</t>
        </is>
      </c>
      <c r="I112" s="20" t="n"/>
      <c r="J112" s="21" t="n"/>
      <c r="K112" s="21" t="n">
        <v>750</v>
      </c>
      <c r="L112" s="21" t="n"/>
      <c r="M112" s="21" t="n">
        <v>750</v>
      </c>
      <c r="N112" s="22" t="n">
        <v>0</v>
      </c>
      <c r="O112" s="22" t="n">
        <v>50</v>
      </c>
      <c r="P112" s="20" t="inlineStr">
        <is>
          <t>AR application with no matching bank credit or GL entry. Pending analyst review.</t>
        </is>
      </c>
      <c r="Q112" s="23" t="n"/>
      <c r="R112" s="23" t="n"/>
    </row>
    <row r="113">
      <c r="A113" s="20" t="inlineStr">
        <is>
          <t>E0112</t>
        </is>
      </c>
      <c r="B113" s="20" t="inlineStr">
        <is>
          <t>Amount mismatch</t>
        </is>
      </c>
      <c r="C113" s="20" t="inlineStr">
        <is>
          <t>Low</t>
        </is>
      </c>
      <c r="D113" s="20" t="inlineStr">
        <is>
          <t>BANK + SL + GL</t>
        </is>
      </c>
      <c r="E113" s="20" t="inlineStr">
        <is>
          <t>11066</t>
        </is>
      </c>
      <c r="F113" s="20" t="inlineStr">
        <is>
          <t>C025</t>
        </is>
      </c>
      <c r="G113" s="20" t="inlineStr">
        <is>
          <t>B000524</t>
        </is>
      </c>
      <c r="H113" s="20" t="inlineStr">
        <is>
          <t>S000514</t>
        </is>
      </c>
      <c r="I113" s="20" t="inlineStr">
        <is>
          <t>G000511</t>
        </is>
      </c>
      <c r="J113" s="21" t="n">
        <v>6848.88</v>
      </c>
      <c r="K113" s="21" t="n">
        <v>7533.77</v>
      </c>
      <c r="L113" s="21" t="n">
        <v>6848.88</v>
      </c>
      <c r="M113" s="21" t="n">
        <v>684.89</v>
      </c>
      <c r="N113" s="22" t="n">
        <v>1</v>
      </c>
      <c r="O113" s="22" t="n">
        <v>59</v>
      </c>
      <c r="P113" s="20" t="inlineStr">
        <is>
          <t>Reference ties across all three systems but amounts differ by $684.89 (tolerance $1.00). Pending analyst review.</t>
        </is>
      </c>
      <c r="Q113" s="23" t="n"/>
      <c r="R113" s="23" t="n"/>
    </row>
    <row r="114">
      <c r="A114" s="20" t="inlineStr">
        <is>
          <t>E0113</t>
        </is>
      </c>
      <c r="B114" s="20" t="inlineStr">
        <is>
          <t>Missing in GL</t>
        </is>
      </c>
      <c r="C114" s="20" t="inlineStr">
        <is>
          <t>Low</t>
        </is>
      </c>
      <c r="D114" s="20" t="inlineStr">
        <is>
          <t>BANK + SL</t>
        </is>
      </c>
      <c r="E114" s="20" t="inlineStr">
        <is>
          <t>10504</t>
        </is>
      </c>
      <c r="F114" s="20" t="inlineStr">
        <is>
          <t>C019</t>
        </is>
      </c>
      <c r="G114" s="20" t="inlineStr">
        <is>
          <t>B001342</t>
        </is>
      </c>
      <c r="H114" s="20" t="inlineStr">
        <is>
          <t>S001391</t>
        </is>
      </c>
      <c r="I114" s="20" t="n"/>
      <c r="J114" s="21" t="n">
        <v>574.55</v>
      </c>
      <c r="K114" s="21" t="n">
        <v>574.55</v>
      </c>
      <c r="L114" s="21" t="n"/>
      <c r="M114" s="21" t="n">
        <v>574.55</v>
      </c>
      <c r="N114" s="22" t="n">
        <v>3</v>
      </c>
      <c r="O114" s="22" t="n">
        <v>15</v>
      </c>
      <c r="P114" s="20" t="inlineStr">
        <is>
          <t>In bank and AR subledger; no GL entry within tolerance. Pending analyst review.</t>
        </is>
      </c>
      <c r="Q114" s="23" t="n"/>
      <c r="R114" s="23" t="n"/>
    </row>
    <row r="115">
      <c r="A115" s="20" t="inlineStr">
        <is>
          <t>E0114</t>
        </is>
      </c>
      <c r="B115" s="20" t="inlineStr">
        <is>
          <t>GL entry only</t>
        </is>
      </c>
      <c r="C115" s="20" t="inlineStr">
        <is>
          <t>Low</t>
        </is>
      </c>
      <c r="D115" s="20" t="inlineStr">
        <is>
          <t>GL</t>
        </is>
      </c>
      <c r="E115" s="20" t="inlineStr">
        <is>
          <t>10395</t>
        </is>
      </c>
      <c r="F115" s="20" t="n"/>
      <c r="G115" s="20" t="n"/>
      <c r="H115" s="20" t="n"/>
      <c r="I115" s="20" t="inlineStr">
        <is>
          <t>G001232</t>
        </is>
      </c>
      <c r="J115" s="21" t="n"/>
      <c r="K115" s="21" t="n"/>
      <c r="L115" s="21" t="n">
        <v>530.16</v>
      </c>
      <c r="M115" s="21" t="n">
        <v>530.16</v>
      </c>
      <c r="N115" s="22" t="n">
        <v>0</v>
      </c>
      <c r="O115" s="22" t="n">
        <v>20</v>
      </c>
      <c r="P115" s="20" t="inlineStr">
        <is>
          <t>GL entry with no matching bank credit or AR application. Pending analyst review.</t>
        </is>
      </c>
      <c r="Q115" s="23" t="n"/>
      <c r="R115" s="23" t="n"/>
    </row>
    <row r="116">
      <c r="A116" s="20" t="inlineStr">
        <is>
          <t>E0115</t>
        </is>
      </c>
      <c r="B116" s="20" t="inlineStr">
        <is>
          <t>Missing in GL</t>
        </is>
      </c>
      <c r="C116" s="20" t="inlineStr">
        <is>
          <t>Low</t>
        </is>
      </c>
      <c r="D116" s="20" t="inlineStr">
        <is>
          <t>BANK + SL</t>
        </is>
      </c>
      <c r="E116" s="20" t="inlineStr">
        <is>
          <t>10559</t>
        </is>
      </c>
      <c r="F116" s="20" t="inlineStr">
        <is>
          <t>C044</t>
        </is>
      </c>
      <c r="G116" s="20" t="inlineStr">
        <is>
          <t>B001198</t>
        </is>
      </c>
      <c r="H116" s="20" t="inlineStr">
        <is>
          <t>S001235</t>
        </is>
      </c>
      <c r="I116" s="20" t="n"/>
      <c r="J116" s="21" t="n">
        <v>500</v>
      </c>
      <c r="K116" s="21" t="n">
        <v>500</v>
      </c>
      <c r="L116" s="21" t="n"/>
      <c r="M116" s="21" t="n">
        <v>500</v>
      </c>
      <c r="N116" s="22" t="n">
        <v>2</v>
      </c>
      <c r="O116" s="22" t="n">
        <v>23</v>
      </c>
      <c r="P116" s="20" t="inlineStr">
        <is>
          <t>In bank and AR subledger; no GL entry within tolerance. Pending analyst review.</t>
        </is>
      </c>
      <c r="Q116" s="23" t="n"/>
      <c r="R116" s="23" t="n"/>
    </row>
    <row r="117">
      <c r="A117" s="20" t="inlineStr">
        <is>
          <t>E0116</t>
        </is>
      </c>
      <c r="B117" s="20" t="inlineStr">
        <is>
          <t>Missing in GL</t>
        </is>
      </c>
      <c r="C117" s="20" t="inlineStr">
        <is>
          <t>Low</t>
        </is>
      </c>
      <c r="D117" s="20" t="inlineStr">
        <is>
          <t>BANK + SL</t>
        </is>
      </c>
      <c r="E117" s="20" t="inlineStr">
        <is>
          <t>11128</t>
        </is>
      </c>
      <c r="F117" s="20" t="inlineStr">
        <is>
          <t>C021</t>
        </is>
      </c>
      <c r="G117" s="20" t="inlineStr">
        <is>
          <t>B000445</t>
        </is>
      </c>
      <c r="H117" s="20" t="inlineStr">
        <is>
          <t>S000455</t>
        </is>
      </c>
      <c r="I117" s="20" t="n"/>
      <c r="J117" s="21" t="n">
        <v>449.76</v>
      </c>
      <c r="K117" s="21" t="n">
        <v>449.76</v>
      </c>
      <c r="L117" s="21" t="n"/>
      <c r="M117" s="21" t="n">
        <v>449.76</v>
      </c>
      <c r="N117" s="22" t="n">
        <v>1</v>
      </c>
      <c r="O117" s="22" t="n">
        <v>64</v>
      </c>
      <c r="P117" s="20" t="inlineStr">
        <is>
          <t>In bank and AR subledger; no GL entry within tolerance. Pending analyst review.</t>
        </is>
      </c>
      <c r="Q117" s="23" t="n"/>
      <c r="R117" s="23" t="n"/>
    </row>
    <row r="118">
      <c r="A118" s="20" t="inlineStr">
        <is>
          <t>E0117</t>
        </is>
      </c>
      <c r="B118" s="20" t="inlineStr">
        <is>
          <t>Timing gap</t>
        </is>
      </c>
      <c r="C118" s="20" t="inlineStr">
        <is>
          <t>Low</t>
        </is>
      </c>
      <c r="D118" s="20" t="inlineStr">
        <is>
          <t>BANK + SL + GL</t>
        </is>
      </c>
      <c r="E118" s="20" t="inlineStr">
        <is>
          <t>10437</t>
        </is>
      </c>
      <c r="F118" s="20" t="inlineStr">
        <is>
          <t>C045</t>
        </is>
      </c>
      <c r="G118" s="20" t="inlineStr">
        <is>
          <t>B000952</t>
        </is>
      </c>
      <c r="H118" s="20" t="inlineStr">
        <is>
          <t>S000961</t>
        </is>
      </c>
      <c r="I118" s="20" t="inlineStr">
        <is>
          <t>G001189</t>
        </is>
      </c>
      <c r="J118" s="21" t="n">
        <v>449.7</v>
      </c>
      <c r="K118" s="21" t="n">
        <v>449.7</v>
      </c>
      <c r="L118" s="21" t="n">
        <v>449.7</v>
      </c>
      <c r="M118" s="21" t="n">
        <v>449.7</v>
      </c>
      <c r="N118" s="22" t="n">
        <v>14</v>
      </c>
      <c r="O118" s="22" t="n">
        <v>36</v>
      </c>
      <c r="P118" s="20" t="inlineStr">
        <is>
          <t>Ties across all three systems but dates span 14 days (tolerance 7). Pending analyst review.</t>
        </is>
      </c>
      <c r="Q118" s="23" t="n"/>
      <c r="R118" s="23" t="n"/>
    </row>
    <row r="119">
      <c r="A119" s="20" t="inlineStr">
        <is>
          <t>E0118</t>
        </is>
      </c>
      <c r="B119" s="20" t="inlineStr">
        <is>
          <t>Duplicate posting</t>
        </is>
      </c>
      <c r="C119" s="20" t="inlineStr">
        <is>
          <t>Low</t>
        </is>
      </c>
      <c r="D119" s="20" t="inlineStr">
        <is>
          <t>SL</t>
        </is>
      </c>
      <c r="E119" s="20" t="inlineStr">
        <is>
          <t>11220</t>
        </is>
      </c>
      <c r="F119" s="20" t="inlineStr">
        <is>
          <t>C026</t>
        </is>
      </c>
      <c r="G119" s="20" t="n"/>
      <c r="H119" s="20" t="inlineStr">
        <is>
          <t>S001237</t>
        </is>
      </c>
      <c r="I119" s="20" t="n"/>
      <c r="J119" s="21" t="n"/>
      <c r="K119" s="21" t="n">
        <v>388</v>
      </c>
      <c r="L119" s="21" t="n"/>
      <c r="M119" s="21" t="n">
        <v>388</v>
      </c>
      <c r="N119" s="22" t="n">
        <v>1</v>
      </c>
      <c r="O119" s="22" t="n">
        <v>21</v>
      </c>
      <c r="P119" s="20" t="inlineStr">
        <is>
          <t>Same reference and amount already posted once in SL (S001208). Pending analyst review.</t>
        </is>
      </c>
      <c r="Q119" s="23" t="n"/>
      <c r="R119" s="23" t="n"/>
    </row>
    <row r="120">
      <c r="A120" s="20" t="inlineStr">
        <is>
          <t>E0119</t>
        </is>
      </c>
      <c r="B120" s="20" t="inlineStr">
        <is>
          <t>Amount mismatch</t>
        </is>
      </c>
      <c r="C120" s="20" t="inlineStr">
        <is>
          <t>Low</t>
        </is>
      </c>
      <c r="D120" s="20" t="inlineStr">
        <is>
          <t>BANK + SL + GL</t>
        </is>
      </c>
      <c r="E120" s="20" t="inlineStr">
        <is>
          <t>10950</t>
        </is>
      </c>
      <c r="F120" s="20" t="inlineStr">
        <is>
          <t>C055</t>
        </is>
      </c>
      <c r="G120" s="20" t="inlineStr">
        <is>
          <t>B001135</t>
        </is>
      </c>
      <c r="H120" s="20" t="inlineStr">
        <is>
          <t>S001142</t>
        </is>
      </c>
      <c r="I120" s="20" t="inlineStr">
        <is>
          <t>G001138</t>
        </is>
      </c>
      <c r="J120" s="21" t="n">
        <v>3498.32</v>
      </c>
      <c r="K120" s="21" t="n">
        <v>3498.32</v>
      </c>
      <c r="L120" s="21" t="n">
        <v>3148.49</v>
      </c>
      <c r="M120" s="21" t="n">
        <v>349.83</v>
      </c>
      <c r="N120" s="22" t="n">
        <v>2</v>
      </c>
      <c r="O120" s="22" t="n">
        <v>26</v>
      </c>
      <c r="P120" s="20" t="inlineStr">
        <is>
          <t>Reference ties across all three systems but amounts differ by $349.83 (tolerance $1.00). Pending analyst review.</t>
        </is>
      </c>
      <c r="Q120" s="23" t="n"/>
      <c r="R120" s="23" t="n"/>
    </row>
    <row r="121">
      <c r="A121" s="20" t="inlineStr">
        <is>
          <t>E0120</t>
        </is>
      </c>
      <c r="B121" s="20" t="inlineStr">
        <is>
          <t>Amount mismatch</t>
        </is>
      </c>
      <c r="C121" s="20" t="inlineStr">
        <is>
          <t>Low</t>
        </is>
      </c>
      <c r="D121" s="20" t="inlineStr">
        <is>
          <t>BANK + SL + GL</t>
        </is>
      </c>
      <c r="E121" s="20" t="inlineStr">
        <is>
          <t>10394</t>
        </is>
      </c>
      <c r="F121" s="20" t="inlineStr">
        <is>
          <t>C024</t>
        </is>
      </c>
      <c r="G121" s="20" t="inlineStr">
        <is>
          <t>B000142</t>
        </is>
      </c>
      <c r="H121" s="20" t="inlineStr">
        <is>
          <t>S000155</t>
        </is>
      </c>
      <c r="I121" s="20" t="inlineStr">
        <is>
          <t>G000135</t>
        </is>
      </c>
      <c r="J121" s="21" t="n">
        <v>3281.73</v>
      </c>
      <c r="K121" s="21" t="n">
        <v>3609.9</v>
      </c>
      <c r="L121" s="21" t="n">
        <v>3281.73</v>
      </c>
      <c r="M121" s="21" t="n">
        <v>328.17</v>
      </c>
      <c r="N121" s="22" t="n">
        <v>2</v>
      </c>
      <c r="O121" s="22" t="n">
        <v>81</v>
      </c>
      <c r="P121" s="20" t="inlineStr">
        <is>
          <t>Reference ties across all three systems but amounts differ by $328.17 (tolerance $1.00). Pending analyst review.</t>
        </is>
      </c>
      <c r="Q121" s="23" t="n"/>
      <c r="R121" s="23" t="n"/>
    </row>
    <row r="122">
      <c r="A122" s="20" t="inlineStr">
        <is>
          <t>E0121</t>
        </is>
      </c>
      <c r="B122" s="20" t="inlineStr">
        <is>
          <t>Amount mismatch</t>
        </is>
      </c>
      <c r="C122" s="20" t="inlineStr">
        <is>
          <t>Low</t>
        </is>
      </c>
      <c r="D122" s="20" t="inlineStr">
        <is>
          <t>BANK + SL + GL</t>
        </is>
      </c>
      <c r="E122" s="20" t="inlineStr">
        <is>
          <t>11174</t>
        </is>
      </c>
      <c r="F122" s="20" t="inlineStr">
        <is>
          <t>C015</t>
        </is>
      </c>
      <c r="G122" s="20" t="inlineStr">
        <is>
          <t>B000405</t>
        </is>
      </c>
      <c r="H122" s="20" t="inlineStr">
        <is>
          <t>S000393</t>
        </is>
      </c>
      <c r="I122" s="20" t="inlineStr">
        <is>
          <t>G000377</t>
        </is>
      </c>
      <c r="J122" s="21" t="n">
        <v>3033.74</v>
      </c>
      <c r="K122" s="21" t="n">
        <v>3033.74</v>
      </c>
      <c r="L122" s="21" t="n">
        <v>3337.11</v>
      </c>
      <c r="M122" s="21" t="n">
        <v>303.37</v>
      </c>
      <c r="N122" s="22" t="n">
        <v>1</v>
      </c>
      <c r="O122" s="22" t="n">
        <v>66</v>
      </c>
      <c r="P122" s="20" t="inlineStr">
        <is>
          <t>Reference ties across all three systems but amounts differ by $303.37 (tolerance $1.00). Pending analyst review.</t>
        </is>
      </c>
      <c r="Q122" s="23" t="n"/>
      <c r="R122" s="23" t="n"/>
    </row>
    <row r="123">
      <c r="A123" s="20" t="inlineStr">
        <is>
          <t>E0122</t>
        </is>
      </c>
      <c r="B123" s="20" t="inlineStr">
        <is>
          <t>Amount mismatch</t>
        </is>
      </c>
      <c r="C123" s="20" t="inlineStr">
        <is>
          <t>Low</t>
        </is>
      </c>
      <c r="D123" s="20" t="inlineStr">
        <is>
          <t>BANK + SL + GL</t>
        </is>
      </c>
      <c r="E123" s="20" t="inlineStr">
        <is>
          <t>11244</t>
        </is>
      </c>
      <c r="F123" s="20" t="inlineStr">
        <is>
          <t>C047</t>
        </is>
      </c>
      <c r="G123" s="20" t="inlineStr">
        <is>
          <t>B000455</t>
        </is>
      </c>
      <c r="H123" s="20" t="inlineStr">
        <is>
          <t>S000454</t>
        </is>
      </c>
      <c r="I123" s="20" t="inlineStr">
        <is>
          <t>G000423</t>
        </is>
      </c>
      <c r="J123" s="21" t="n">
        <v>1629.57</v>
      </c>
      <c r="K123" s="21" t="n">
        <v>1629.57</v>
      </c>
      <c r="L123" s="21" t="n">
        <v>1385.13</v>
      </c>
      <c r="M123" s="21" t="n">
        <v>244.44</v>
      </c>
      <c r="N123" s="22" t="n">
        <v>1</v>
      </c>
      <c r="O123" s="22" t="n">
        <v>63</v>
      </c>
      <c r="P123" s="20" t="inlineStr">
        <is>
          <t>Reference ties across all three systems but amounts differ by $244.44 (tolerance $1.00). Pending analyst review.</t>
        </is>
      </c>
      <c r="Q123" s="23" t="n"/>
      <c r="R123" s="23" t="n"/>
    </row>
    <row r="124">
      <c r="A124" s="20" t="inlineStr">
        <is>
          <t>E0123</t>
        </is>
      </c>
      <c r="B124" s="20" t="inlineStr">
        <is>
          <t>Amount mismatch</t>
        </is>
      </c>
      <c r="C124" s="20" t="inlineStr">
        <is>
          <t>Low</t>
        </is>
      </c>
      <c r="D124" s="20" t="inlineStr">
        <is>
          <t>BANK + SL + GL</t>
        </is>
      </c>
      <c r="E124" s="20" t="inlineStr">
        <is>
          <t>10045</t>
        </is>
      </c>
      <c r="F124" s="20" t="inlineStr">
        <is>
          <t>C023</t>
        </is>
      </c>
      <c r="G124" s="20" t="inlineStr">
        <is>
          <t>B000311</t>
        </is>
      </c>
      <c r="H124" s="20" t="inlineStr">
        <is>
          <t>S000321</t>
        </is>
      </c>
      <c r="I124" s="20" t="inlineStr">
        <is>
          <t>G000297</t>
        </is>
      </c>
      <c r="J124" s="21" t="n">
        <v>3307.78</v>
      </c>
      <c r="K124" s="21" t="n">
        <v>3473.17</v>
      </c>
      <c r="L124" s="21" t="n">
        <v>3307.78</v>
      </c>
      <c r="M124" s="21" t="n">
        <v>165.39</v>
      </c>
      <c r="N124" s="22" t="n">
        <v>2</v>
      </c>
      <c r="O124" s="22" t="n">
        <v>72</v>
      </c>
      <c r="P124" s="20" t="inlineStr">
        <is>
          <t>Reference ties across all three systems but amounts differ by $165.39 (tolerance $1.00). Pending analyst review.</t>
        </is>
      </c>
      <c r="Q124" s="23" t="n"/>
      <c r="R124" s="23" t="n"/>
    </row>
    <row r="125">
      <c r="A125" s="20" t="inlineStr">
        <is>
          <t>E0124</t>
        </is>
      </c>
      <c r="B125" s="20" t="inlineStr">
        <is>
          <t>Amount mismatch</t>
        </is>
      </c>
      <c r="C125" s="20" t="inlineStr">
        <is>
          <t>Low</t>
        </is>
      </c>
      <c r="D125" s="20" t="inlineStr">
        <is>
          <t>BANK + SL + GL</t>
        </is>
      </c>
      <c r="E125" s="20" t="inlineStr">
        <is>
          <t>10215</t>
        </is>
      </c>
      <c r="F125" s="20" t="inlineStr">
        <is>
          <t>C028</t>
        </is>
      </c>
      <c r="G125" s="20" t="inlineStr">
        <is>
          <t>B001147</t>
        </is>
      </c>
      <c r="H125" s="20" t="inlineStr">
        <is>
          <t>S001176</t>
        </is>
      </c>
      <c r="I125" s="20" t="inlineStr">
        <is>
          <t>G001142</t>
        </is>
      </c>
      <c r="J125" s="21" t="n">
        <v>2500</v>
      </c>
      <c r="K125" s="21" t="n">
        <v>2500</v>
      </c>
      <c r="L125" s="21" t="n">
        <v>2375</v>
      </c>
      <c r="M125" s="21" t="n">
        <v>125</v>
      </c>
      <c r="N125" s="22" t="n">
        <v>2</v>
      </c>
      <c r="O125" s="22" t="n">
        <v>26</v>
      </c>
      <c r="P125" s="20" t="inlineStr">
        <is>
          <t>Reference ties across all three systems but amounts differ by $125.00 (tolerance $1.00). Pending analyst review.</t>
        </is>
      </c>
      <c r="Q125" s="23" t="n"/>
      <c r="R125" s="23" t="n"/>
    </row>
    <row r="126">
      <c r="A126" s="20" t="inlineStr">
        <is>
          <t>E0125</t>
        </is>
      </c>
      <c r="B126" s="20" t="inlineStr">
        <is>
          <t>Amount mismatch</t>
        </is>
      </c>
      <c r="C126" s="20" t="inlineStr">
        <is>
          <t>Low</t>
        </is>
      </c>
      <c r="D126" s="20" t="inlineStr">
        <is>
          <t>BANK + SL + GL</t>
        </is>
      </c>
      <c r="E126" s="20" t="inlineStr">
        <is>
          <t>10931</t>
        </is>
      </c>
      <c r="F126" s="20" t="inlineStr">
        <is>
          <t>C057</t>
        </is>
      </c>
      <c r="G126" s="20" t="inlineStr">
        <is>
          <t>B000095</t>
        </is>
      </c>
      <c r="H126" s="20" t="inlineStr">
        <is>
          <t>S000082</t>
        </is>
      </c>
      <c r="I126" s="20" t="inlineStr">
        <is>
          <t>G000106</t>
        </is>
      </c>
      <c r="J126" s="21" t="n">
        <v>4348.64</v>
      </c>
      <c r="K126" s="21" t="n">
        <v>4344.14</v>
      </c>
      <c r="L126" s="21" t="n">
        <v>4348.64</v>
      </c>
      <c r="M126" s="21" t="n">
        <v>4.5</v>
      </c>
      <c r="N126" s="22" t="n">
        <v>2</v>
      </c>
      <c r="O126" s="22" t="n">
        <v>83</v>
      </c>
      <c r="P126" s="20" t="inlineStr">
        <is>
          <t>Reference ties across all three systems but amounts differ by $4.50 (tolerance $1.00). Pending analyst review.</t>
        </is>
      </c>
      <c r="Q126" s="23" t="n"/>
      <c r="R126" s="23" t="n"/>
    </row>
    <row r="127">
      <c r="A127" s="20" t="inlineStr">
        <is>
          <t>E0126</t>
        </is>
      </c>
      <c r="B127" s="20" t="inlineStr">
        <is>
          <t>Amount mismatch</t>
        </is>
      </c>
      <c r="C127" s="20" t="inlineStr">
        <is>
          <t>Low</t>
        </is>
      </c>
      <c r="D127" s="20" t="inlineStr">
        <is>
          <t>BANK + SL + GL</t>
        </is>
      </c>
      <c r="E127" s="20" t="inlineStr">
        <is>
          <t>10427</t>
        </is>
      </c>
      <c r="F127" s="20" t="inlineStr">
        <is>
          <t>C046</t>
        </is>
      </c>
      <c r="G127" s="20" t="inlineStr">
        <is>
          <t>B001264</t>
        </is>
      </c>
      <c r="H127" s="20" t="inlineStr">
        <is>
          <t>S001274</t>
        </is>
      </c>
      <c r="I127" s="20" t="inlineStr">
        <is>
          <t>G001288</t>
        </is>
      </c>
      <c r="J127" s="21" t="n">
        <v>672.51</v>
      </c>
      <c r="K127" s="21" t="n">
        <v>668.51</v>
      </c>
      <c r="L127" s="21" t="n">
        <v>672.51</v>
      </c>
      <c r="M127" s="21" t="n">
        <v>4</v>
      </c>
      <c r="N127" s="22" t="n">
        <v>3</v>
      </c>
      <c r="O127" s="22" t="n">
        <v>20</v>
      </c>
      <c r="P127" s="20" t="inlineStr">
        <is>
          <t>Reference ties across all three systems but amounts differ by $4.00 (tolerance $1.00). Pending analyst review.</t>
        </is>
      </c>
      <c r="Q127" s="23" t="n"/>
      <c r="R127" s="23" t="n"/>
    </row>
    <row r="128">
      <c r="A128" s="20" t="inlineStr">
        <is>
          <t>E0127</t>
        </is>
      </c>
      <c r="B128" s="20" t="inlineStr">
        <is>
          <t>Amount mismatch</t>
        </is>
      </c>
      <c r="C128" s="20" t="inlineStr">
        <is>
          <t>Low</t>
        </is>
      </c>
      <c r="D128" s="20" t="inlineStr">
        <is>
          <t>BANK + SL + GL</t>
        </is>
      </c>
      <c r="E128" s="20" t="inlineStr">
        <is>
          <t>10686</t>
        </is>
      </c>
      <c r="F128" s="20" t="inlineStr">
        <is>
          <t>C022</t>
        </is>
      </c>
      <c r="G128" s="20" t="inlineStr">
        <is>
          <t>B000158</t>
        </is>
      </c>
      <c r="H128" s="20" t="inlineStr">
        <is>
          <t>S000153</t>
        </is>
      </c>
      <c r="I128" s="20" t="inlineStr">
        <is>
          <t>G000145</t>
        </is>
      </c>
      <c r="J128" s="21" t="n">
        <v>9328.33</v>
      </c>
      <c r="K128" s="21" t="n">
        <v>9324.83</v>
      </c>
      <c r="L128" s="21" t="n">
        <v>9328.34</v>
      </c>
      <c r="M128" s="21" t="n">
        <v>3.51</v>
      </c>
      <c r="N128" s="22" t="n">
        <v>1</v>
      </c>
      <c r="O128" s="22" t="n">
        <v>80</v>
      </c>
      <c r="P128" s="20" t="inlineStr">
        <is>
          <t>Reference ties across all three systems but amounts differ by $3.51 (tolerance $1.00). Pending analyst review.</t>
        </is>
      </c>
      <c r="Q128" s="23" t="n"/>
      <c r="R128" s="23" t="n"/>
    </row>
    <row r="129">
      <c r="A129" s="20" t="inlineStr">
        <is>
          <t>E0128</t>
        </is>
      </c>
      <c r="B129" s="20" t="inlineStr">
        <is>
          <t>Amount mismatch</t>
        </is>
      </c>
      <c r="C129" s="20" t="inlineStr">
        <is>
          <t>Low</t>
        </is>
      </c>
      <c r="D129" s="20" t="inlineStr">
        <is>
          <t>BANK + SL + GL</t>
        </is>
      </c>
      <c r="E129" s="20" t="inlineStr">
        <is>
          <t>10381</t>
        </is>
      </c>
      <c r="F129" s="20" t="inlineStr">
        <is>
          <t>C003</t>
        </is>
      </c>
      <c r="G129" s="20" t="inlineStr">
        <is>
          <t>B001395</t>
        </is>
      </c>
      <c r="H129" s="20" t="inlineStr">
        <is>
          <t>S001421</t>
        </is>
      </c>
      <c r="I129" s="20" t="inlineStr">
        <is>
          <t>G001405</t>
        </is>
      </c>
      <c r="J129" s="21" t="n">
        <v>7006.87</v>
      </c>
      <c r="K129" s="21" t="n">
        <v>7006.87</v>
      </c>
      <c r="L129" s="21" t="n">
        <v>7003.37</v>
      </c>
      <c r="M129" s="21" t="n">
        <v>3.5</v>
      </c>
      <c r="N129" s="22" t="n">
        <v>2</v>
      </c>
      <c r="O129" s="22" t="n">
        <v>12</v>
      </c>
      <c r="P129" s="20" t="inlineStr">
        <is>
          <t>Reference ties across all three systems but amounts differ by $3.50 (tolerance $1.00). Pending analyst review.</t>
        </is>
      </c>
      <c r="Q129" s="23" t="n"/>
      <c r="R129" s="23" t="n"/>
    </row>
    <row r="130">
      <c r="A130" s="20" t="inlineStr">
        <is>
          <t>E0129</t>
        </is>
      </c>
      <c r="B130" s="20" t="inlineStr">
        <is>
          <t>Amount mismatch</t>
        </is>
      </c>
      <c r="C130" s="20" t="inlineStr">
        <is>
          <t>Low</t>
        </is>
      </c>
      <c r="D130" s="20" t="inlineStr">
        <is>
          <t>BANK + SL + GL</t>
        </is>
      </c>
      <c r="E130" s="20" t="inlineStr">
        <is>
          <t>10866</t>
        </is>
      </c>
      <c r="F130" s="20" t="inlineStr">
        <is>
          <t>C028</t>
        </is>
      </c>
      <c r="G130" s="20" t="inlineStr">
        <is>
          <t>B001212</t>
        </is>
      </c>
      <c r="H130" s="20" t="inlineStr">
        <is>
          <t>S001257</t>
        </is>
      </c>
      <c r="I130" s="20" t="inlineStr">
        <is>
          <t>G001267</t>
        </is>
      </c>
      <c r="J130" s="21" t="n">
        <v>2147.79</v>
      </c>
      <c r="K130" s="21" t="n">
        <v>2147.79</v>
      </c>
      <c r="L130" s="21" t="n">
        <v>2144.79</v>
      </c>
      <c r="M130" s="21" t="n">
        <v>3</v>
      </c>
      <c r="N130" s="22" t="n">
        <v>3</v>
      </c>
      <c r="O130" s="22" t="n">
        <v>22</v>
      </c>
      <c r="P130" s="20" t="inlineStr">
        <is>
          <t>Reference ties across all three systems but amounts differ by $3.00 (tolerance $1.00). Pending analyst review.</t>
        </is>
      </c>
      <c r="Q130" s="23" t="n"/>
      <c r="R130" s="23" t="n"/>
    </row>
    <row r="131">
      <c r="A131" s="20" t="inlineStr">
        <is>
          <t>E0130</t>
        </is>
      </c>
      <c r="B131" s="20" t="inlineStr">
        <is>
          <t>Amount mismatch</t>
        </is>
      </c>
      <c r="C131" s="20" t="inlineStr">
        <is>
          <t>Low</t>
        </is>
      </c>
      <c r="D131" s="20" t="inlineStr">
        <is>
          <t>BANK + SL + GL</t>
        </is>
      </c>
      <c r="E131" s="20" t="inlineStr">
        <is>
          <t>10095</t>
        </is>
      </c>
      <c r="F131" s="20" t="inlineStr">
        <is>
          <t>C042</t>
        </is>
      </c>
      <c r="G131" s="20" t="inlineStr">
        <is>
          <t>B001417</t>
        </is>
      </c>
      <c r="H131" s="20" t="inlineStr">
        <is>
          <t>S001446</t>
        </is>
      </c>
      <c r="I131" s="20" t="inlineStr">
        <is>
          <t>G001412</t>
        </is>
      </c>
      <c r="J131" s="21" t="n">
        <v>3914.63</v>
      </c>
      <c r="K131" s="21" t="n">
        <v>3914.63</v>
      </c>
      <c r="L131" s="21" t="n">
        <v>3912.13</v>
      </c>
      <c r="M131" s="21" t="n">
        <v>2.5</v>
      </c>
      <c r="N131" s="22" t="n">
        <v>1</v>
      </c>
      <c r="O131" s="22" t="n">
        <v>11</v>
      </c>
      <c r="P131" s="20" t="inlineStr">
        <is>
          <t>Reference ties across all three systems but amounts differ by $2.50 (tolerance $1.00). Pending analyst review.</t>
        </is>
      </c>
      <c r="Q131" s="23" t="n"/>
      <c r="R131" s="23" t="n"/>
    </row>
  </sheetData>
  <autoFilter ref="A1:R131"/>
  <conditionalFormatting sqref="C2:C131">
    <cfRule type="expression" priority="1" dxfId="0">
      <formula>$C2="High"</formula>
    </cfRule>
    <cfRule type="expression" priority="2" dxfId="1">
      <formula>$C2="Medium"</formula>
    </cfRule>
    <cfRule type="expression" priority="3" dxfId="2">
      <formula>$C2="Low"</formula>
    </cfRule>
  </conditionalFormatting>
  <dataValidations count="1">
    <dataValidation sqref="Q2:Q131" showDropDown="0" showInputMessage="0" showErrorMessage="0" allowBlank="1" type="list">
      <formula1>"Open,In review,Resolved,Not an issue"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Tolerance sensitivity: what each setting does to the exception queue</t>
        </is>
      </c>
    </row>
    <row r="2">
      <c r="A2" s="2" t="inlineStr">
        <is>
          <t>Source: validate_against_ground_truth.py re-runs the SQL pipeline at each setting and scores it against the planted breaks. Values are outputs of that run (blue). Highlighted row = settings used.</t>
        </is>
      </c>
    </row>
    <row r="4" ht="30" customHeight="1">
      <c r="A4" s="8" t="inlineStr">
        <is>
          <t>Amount tol.</t>
        </is>
      </c>
      <c r="B4" s="9" t="inlineStr">
        <is>
          <t>Date tol. (days)</t>
        </is>
      </c>
      <c r="C4" s="9" t="inlineStr">
        <is>
          <t>Rows cleared</t>
        </is>
      </c>
      <c r="D4" s="9" t="inlineStr">
        <is>
          <t>Exceptions</t>
        </is>
      </c>
      <c r="E4" s="9" t="inlineStr">
        <is>
          <t>Breaks missed</t>
        </is>
      </c>
      <c r="F4" s="9" t="inlineStr">
        <is>
          <t>False alarms</t>
        </is>
      </c>
      <c r="G4" s="9" t="inlineStr">
        <is>
          <t>Recall</t>
        </is>
      </c>
      <c r="H4" s="9" t="inlineStr">
        <is>
          <t>Precision</t>
        </is>
      </c>
    </row>
    <row r="5">
      <c r="A5" s="5" t="n">
        <v>0</v>
      </c>
      <c r="B5" s="6" t="n">
        <v>2</v>
      </c>
      <c r="C5" s="24" t="n">
        <v>0.5695</v>
      </c>
      <c r="D5" s="10" t="n">
        <v>689</v>
      </c>
      <c r="E5" s="10" t="n">
        <v>4</v>
      </c>
      <c r="F5" s="10" t="n">
        <v>561</v>
      </c>
      <c r="G5" s="12">
        <f>(128-E5)/128</f>
        <v/>
      </c>
      <c r="H5" s="12">
        <f>IF(D5=0,1,1-F5/D5)</f>
        <v/>
      </c>
    </row>
    <row r="6">
      <c r="A6" s="5" t="n">
        <v>0</v>
      </c>
      <c r="B6" s="6" t="n">
        <v>5</v>
      </c>
      <c r="C6" s="24" t="n">
        <v>0.7932</v>
      </c>
      <c r="D6" s="10" t="n">
        <v>355</v>
      </c>
      <c r="E6" s="10" t="n">
        <v>4</v>
      </c>
      <c r="F6" s="10" t="n">
        <v>227</v>
      </c>
      <c r="G6" s="12">
        <f>(128-E6)/128</f>
        <v/>
      </c>
      <c r="H6" s="12">
        <f>IF(D6=0,1,1-F6/D6)</f>
        <v/>
      </c>
    </row>
    <row r="7">
      <c r="A7" s="5" t="n">
        <v>0</v>
      </c>
      <c r="B7" s="6" t="n">
        <v>7</v>
      </c>
      <c r="C7" s="24" t="n">
        <v>0.7953</v>
      </c>
      <c r="D7" s="10" t="n">
        <v>352</v>
      </c>
      <c r="E7" s="10" t="n">
        <v>4</v>
      </c>
      <c r="F7" s="10" t="n">
        <v>224</v>
      </c>
      <c r="G7" s="12">
        <f>(128-E7)/128</f>
        <v/>
      </c>
      <c r="H7" s="12">
        <f>IF(D7=0,1,1-F7/D7)</f>
        <v/>
      </c>
    </row>
    <row r="8">
      <c r="A8" s="5" t="n">
        <v>0</v>
      </c>
      <c r="B8" s="6" t="n">
        <v>10</v>
      </c>
      <c r="C8" s="24" t="n">
        <v>0.7953</v>
      </c>
      <c r="D8" s="10" t="n">
        <v>353</v>
      </c>
      <c r="E8" s="10" t="n">
        <v>5</v>
      </c>
      <c r="F8" s="10" t="n">
        <v>226</v>
      </c>
      <c r="G8" s="12">
        <f>(128-E8)/128</f>
        <v/>
      </c>
      <c r="H8" s="12">
        <f>IF(D8=0,1,1-F8/D8)</f>
        <v/>
      </c>
    </row>
    <row r="9">
      <c r="A9" s="5" t="n">
        <v>0.5</v>
      </c>
      <c r="B9" s="6" t="n">
        <v>2</v>
      </c>
      <c r="C9" s="24" t="n">
        <v>0.6536</v>
      </c>
      <c r="D9" s="10" t="n">
        <v>560</v>
      </c>
      <c r="E9" s="10" t="n">
        <v>0</v>
      </c>
      <c r="F9" s="10" t="n">
        <v>432</v>
      </c>
      <c r="G9" s="12">
        <f>(128-E9)/128</f>
        <v/>
      </c>
      <c r="H9" s="12">
        <f>IF(D9=0,1,1-F9/D9)</f>
        <v/>
      </c>
    </row>
    <row r="10">
      <c r="A10" s="5" t="n">
        <v>0.5</v>
      </c>
      <c r="B10" s="6" t="n">
        <v>5</v>
      </c>
      <c r="C10" s="24" t="n">
        <v>0.9064</v>
      </c>
      <c r="D10" s="10" t="n">
        <v>182</v>
      </c>
      <c r="E10" s="10" t="n">
        <v>0</v>
      </c>
      <c r="F10" s="10" t="n">
        <v>54</v>
      </c>
      <c r="G10" s="12">
        <f>(128-E10)/128</f>
        <v/>
      </c>
      <c r="H10" s="12">
        <f>IF(D10=0,1,1-F10/D10)</f>
        <v/>
      </c>
    </row>
    <row r="11">
      <c r="A11" s="5" t="n">
        <v>0.5</v>
      </c>
      <c r="B11" s="6" t="n">
        <v>7</v>
      </c>
      <c r="C11" s="24" t="n">
        <v>0.9105</v>
      </c>
      <c r="D11" s="10" t="n">
        <v>176</v>
      </c>
      <c r="E11" s="10" t="n">
        <v>0</v>
      </c>
      <c r="F11" s="10" t="n">
        <v>48</v>
      </c>
      <c r="G11" s="12">
        <f>(128-E11)/128</f>
        <v/>
      </c>
      <c r="H11" s="12">
        <f>IF(D11=0,1,1-F11/D11)</f>
        <v/>
      </c>
    </row>
    <row r="12">
      <c r="A12" s="5" t="n">
        <v>0.5</v>
      </c>
      <c r="B12" s="6" t="n">
        <v>10</v>
      </c>
      <c r="C12" s="24" t="n">
        <v>0.9112</v>
      </c>
      <c r="D12" s="10" t="n">
        <v>176</v>
      </c>
      <c r="E12" s="10" t="n">
        <v>2</v>
      </c>
      <c r="F12" s="10" t="n">
        <v>50</v>
      </c>
      <c r="G12" s="12">
        <f>(128-E12)/128</f>
        <v/>
      </c>
      <c r="H12" s="12">
        <f>IF(D12=0,1,1-F12/D12)</f>
        <v/>
      </c>
    </row>
    <row r="13">
      <c r="A13" s="5" t="n">
        <v>1</v>
      </c>
      <c r="B13" s="6" t="n">
        <v>2</v>
      </c>
      <c r="C13" s="24" t="n">
        <v>0.678</v>
      </c>
      <c r="D13" s="10" t="n">
        <v>522</v>
      </c>
      <c r="E13" s="10" t="n">
        <v>0</v>
      </c>
      <c r="F13" s="10" t="n">
        <v>394</v>
      </c>
      <c r="G13" s="12">
        <f>(128-E13)/128</f>
        <v/>
      </c>
      <c r="H13" s="12">
        <f>IF(D13=0,1,1-F13/D13)</f>
        <v/>
      </c>
    </row>
    <row r="14">
      <c r="A14" s="5" t="n">
        <v>1</v>
      </c>
      <c r="B14" s="6" t="n">
        <v>5</v>
      </c>
      <c r="C14" s="24" t="n">
        <v>0.9363</v>
      </c>
      <c r="D14" s="10" t="n">
        <v>136</v>
      </c>
      <c r="E14" s="10" t="n">
        <v>0</v>
      </c>
      <c r="F14" s="10" t="n">
        <v>8</v>
      </c>
      <c r="G14" s="12">
        <f>(128-E14)/128</f>
        <v/>
      </c>
      <c r="H14" s="12">
        <f>IF(D14=0,1,1-F14/D14)</f>
        <v/>
      </c>
    </row>
    <row r="15">
      <c r="A15" s="25" t="n">
        <v>1</v>
      </c>
      <c r="B15" s="26" t="n">
        <v>7</v>
      </c>
      <c r="C15" s="27" t="n">
        <v>0.9403</v>
      </c>
      <c r="D15" s="28" t="n">
        <v>130</v>
      </c>
      <c r="E15" s="28" t="n">
        <v>0</v>
      </c>
      <c r="F15" s="28" t="n">
        <v>2</v>
      </c>
      <c r="G15" s="29">
        <f>(128-E15)/128</f>
        <v/>
      </c>
      <c r="H15" s="29">
        <f>IF(D15=0,1,1-F15/D15)</f>
        <v/>
      </c>
    </row>
    <row r="16">
      <c r="A16" s="5" t="n">
        <v>1</v>
      </c>
      <c r="B16" s="6" t="n">
        <v>10</v>
      </c>
      <c r="C16" s="24" t="n">
        <v>0.9409999999999999</v>
      </c>
      <c r="D16" s="10" t="n">
        <v>130</v>
      </c>
      <c r="E16" s="10" t="n">
        <v>2</v>
      </c>
      <c r="F16" s="10" t="n">
        <v>4</v>
      </c>
      <c r="G16" s="12">
        <f>(128-E16)/128</f>
        <v/>
      </c>
      <c r="H16" s="12">
        <f>IF(D16=0,1,1-F16/D16)</f>
        <v/>
      </c>
    </row>
    <row r="17">
      <c r="A17" s="5" t="n">
        <v>2</v>
      </c>
      <c r="B17" s="6" t="n">
        <v>2</v>
      </c>
      <c r="C17" s="24" t="n">
        <v>0.678</v>
      </c>
      <c r="D17" s="10" t="n">
        <v>522</v>
      </c>
      <c r="E17" s="10" t="n">
        <v>0</v>
      </c>
      <c r="F17" s="10" t="n">
        <v>394</v>
      </c>
      <c r="G17" s="12">
        <f>(128-E17)/128</f>
        <v/>
      </c>
      <c r="H17" s="12">
        <f>IF(D17=0,1,1-F17/D17)</f>
        <v/>
      </c>
    </row>
    <row r="18">
      <c r="A18" s="5" t="n">
        <v>2</v>
      </c>
      <c r="B18" s="6" t="n">
        <v>5</v>
      </c>
      <c r="C18" s="24" t="n">
        <v>0.9363</v>
      </c>
      <c r="D18" s="10" t="n">
        <v>136</v>
      </c>
      <c r="E18" s="10" t="n">
        <v>0</v>
      </c>
      <c r="F18" s="10" t="n">
        <v>8</v>
      </c>
      <c r="G18" s="12">
        <f>(128-E18)/128</f>
        <v/>
      </c>
      <c r="H18" s="12">
        <f>IF(D18=0,1,1-F18/D18)</f>
        <v/>
      </c>
    </row>
    <row r="19">
      <c r="A19" s="5" t="n">
        <v>2</v>
      </c>
      <c r="B19" s="6" t="n">
        <v>7</v>
      </c>
      <c r="C19" s="24" t="n">
        <v>0.9403</v>
      </c>
      <c r="D19" s="10" t="n">
        <v>130</v>
      </c>
      <c r="E19" s="10" t="n">
        <v>0</v>
      </c>
      <c r="F19" s="10" t="n">
        <v>2</v>
      </c>
      <c r="G19" s="12">
        <f>(128-E19)/128</f>
        <v/>
      </c>
      <c r="H19" s="12">
        <f>IF(D19=0,1,1-F19/D19)</f>
        <v/>
      </c>
    </row>
    <row r="20">
      <c r="A20" s="5" t="n">
        <v>2</v>
      </c>
      <c r="B20" s="6" t="n">
        <v>10</v>
      </c>
      <c r="C20" s="24" t="n">
        <v>0.9409999999999999</v>
      </c>
      <c r="D20" s="10" t="n">
        <v>130</v>
      </c>
      <c r="E20" s="10" t="n">
        <v>2</v>
      </c>
      <c r="F20" s="10" t="n">
        <v>4</v>
      </c>
      <c r="G20" s="12">
        <f>(128-E20)/128</f>
        <v/>
      </c>
      <c r="H20" s="12">
        <f>IF(D20=0,1,1-F20/D20)</f>
        <v/>
      </c>
    </row>
    <row r="21">
      <c r="A21" s="5" t="n">
        <v>5</v>
      </c>
      <c r="B21" s="6" t="n">
        <v>2</v>
      </c>
      <c r="C21" s="24" t="n">
        <v>0.6807</v>
      </c>
      <c r="D21" s="10" t="n">
        <v>518</v>
      </c>
      <c r="E21" s="10" t="n">
        <v>6</v>
      </c>
      <c r="F21" s="10" t="n">
        <v>394</v>
      </c>
      <c r="G21" s="12">
        <f>(128-E21)/128</f>
        <v/>
      </c>
      <c r="H21" s="12">
        <f>IF(D21=0,1,1-F21/D21)</f>
        <v/>
      </c>
    </row>
    <row r="22">
      <c r="A22" s="5" t="n">
        <v>5</v>
      </c>
      <c r="B22" s="6" t="n">
        <v>5</v>
      </c>
      <c r="C22" s="24" t="n">
        <v>0.9403</v>
      </c>
      <c r="D22" s="10" t="n">
        <v>130</v>
      </c>
      <c r="E22" s="10" t="n">
        <v>6</v>
      </c>
      <c r="F22" s="10" t="n">
        <v>8</v>
      </c>
      <c r="G22" s="12">
        <f>(128-E22)/128</f>
        <v/>
      </c>
      <c r="H22" s="12">
        <f>IF(D22=0,1,1-F22/D22)</f>
        <v/>
      </c>
    </row>
    <row r="23">
      <c r="A23" s="5" t="n">
        <v>5</v>
      </c>
      <c r="B23" s="6" t="n">
        <v>7</v>
      </c>
      <c r="C23" s="24" t="n">
        <v>0.9444</v>
      </c>
      <c r="D23" s="10" t="n">
        <v>124</v>
      </c>
      <c r="E23" s="10" t="n">
        <v>6</v>
      </c>
      <c r="F23" s="10" t="n">
        <v>2</v>
      </c>
      <c r="G23" s="12">
        <f>(128-E23)/128</f>
        <v/>
      </c>
      <c r="H23" s="12">
        <f>IF(D23=0,1,1-F23/D23)</f>
        <v/>
      </c>
    </row>
    <row r="24">
      <c r="A24" s="5" t="n">
        <v>5</v>
      </c>
      <c r="B24" s="6" t="n">
        <v>10</v>
      </c>
      <c r="C24" s="24" t="n">
        <v>0.9451000000000001</v>
      </c>
      <c r="D24" s="10" t="n">
        <v>124</v>
      </c>
      <c r="E24" s="10" t="n">
        <v>8</v>
      </c>
      <c r="F24" s="10" t="n">
        <v>4</v>
      </c>
      <c r="G24" s="12">
        <f>(128-E24)/128</f>
        <v/>
      </c>
      <c r="H24" s="12">
        <f>IF(D24=0,1,1-F24/D24)</f>
        <v/>
      </c>
    </row>
    <row r="26">
      <c r="A26" s="2" t="inlineStr">
        <is>
          <t>Reading it: at $0.00 every bank fee becomes an amount mismatch; at $5.00 the small short-pays are absorbed. At 2 days normal posting lag floods the queue; at 10 days genuine timing gaps are absorbed.</t>
        </is>
      </c>
    </row>
    <row r="27">
      <c r="A27" s="2" t="inlineStr">
        <is>
          <t>Caveat: the 7-day knee reflects the synthetic posting lag (at most 6 days). With real data, set the date tolerance from the observed spread on cleanly matched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2026-10-07T18:44:11Z</dcterms:created>
  <dcterms:modified xmlns:dcterms="http://purl.org/dc/terms/" xmlns:xsi="http://www.w3.org/2001/XMLSchema-instance" xsi:type="dcterms:W3CDTF">2026-10-07T18:44:11Z</dcterms:modified>
</cp:coreProperties>
</file>